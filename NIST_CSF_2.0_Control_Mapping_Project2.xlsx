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7d73bbd97b428a" /></Relationships>
</file>

<file path=xl/workbook.xml><?xml version="1.0" encoding="utf-8"?>
<x:workbook xmlns:x="http://schemas.openxmlformats.org/spreadsheetml/2006/main">
  <x:sheets>
    <x:sheet xmlns:r="http://schemas.openxmlformats.org/officeDocument/2006/relationships" name="Executive Summary" sheetId="1" r:id="R76f256437bfd4425"/>
    <x:sheet xmlns:r="http://schemas.openxmlformats.org/officeDocument/2006/relationships" name="CSF 2.0 Profile" sheetId="2" r:id="Re7badddca030456c"/>
    <x:sheet xmlns:r="http://schemas.openxmlformats.org/officeDocument/2006/relationships" name="Risk to CSF Mapping" sheetId="3" r:id="Re786d990ae684d10"/>
    <x:sheet xmlns:r="http://schemas.openxmlformats.org/officeDocument/2006/relationships" name="Gap Action Plan" sheetId="4" r:id="R6b0d8cfd0f6b4be5"/>
    <x:sheet xmlns:r="http://schemas.openxmlformats.org/officeDocument/2006/relationships" name="Function Summary" sheetId="5" r:id="Re54c89568c7147ff"/>
    <x:sheet xmlns:r="http://schemas.openxmlformats.org/officeDocument/2006/relationships" name="Evidence Register" sheetId="6" r:id="R69ad1082d34041b7"/>
    <x:sheet xmlns:r="http://schemas.openxmlformats.org/officeDocument/2006/relationships" name="Methodology" sheetId="7" r:id="Rf8cd79729d1046cb"/>
    <x:sheet xmlns:r="http://schemas.openxmlformats.org/officeDocument/2006/relationships" name="References" sheetId="8" r:id="Rdf36b39e369c439a"/>
    <x:sheet xmlns:r="http://schemas.openxmlformats.org/officeDocument/2006/relationships" name="Lists" sheetId="9" r:id="R1821977529554b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0"/>
    <x:numFmt numFmtId="203" formatCode="0"/>
  </x:numFmts>
  <x:fonts count="23">
    <x:font>
      <x:sz val="11"/>
      <x:name val="Carlito"/>
    </x:font>
    <x:font>
      <x:sz val="10"/>
      <x:name val="Aptos"/>
    </x:font>
    <x:font>
      <x:b/>
      <x:sz val="10"/>
      <x:color rgb="FFFFFFFF"/>
      <x:name val="Aptos"/>
    </x:font>
    <x:font>
      <x:b/>
      <x:sz val="9"/>
      <x:color rgb="FFFFFFFF"/>
      <x:name val="Aptos"/>
    </x:font>
    <x:font>
      <x:sz val="9"/>
      <x:color rgb="FF24212A"/>
      <x:name val="Aptos"/>
    </x:font>
    <x:font>
      <x:b/>
      <x:sz val="18"/>
      <x:color rgb="FFFFFFFF"/>
      <x:name val="Aptos Display"/>
    </x:font>
    <x:font>
      <x:b/>
      <x:sz val="9"/>
      <x:color rgb="FFFFFFFF"/>
      <x:name val="Carlito"/>
    </x:font>
    <x:font>
      <x:sz val="9"/>
      <x:name val="Carlito"/>
    </x:font>
    <x:font>
      <x:b/>
      <x:sz val="11"/>
      <x:color rgb="FFFFFFFF"/>
      <x:name val="Carlito"/>
    </x:font>
    <x:font>
      <x:b/>
      <x:sz val="10"/>
      <x:color rgb="FFFFFFFF"/>
      <x:name val="Carlito"/>
    </x:font>
    <x:font>
      <x:i/>
      <x:sz val="10"/>
      <x:color rgb="FF6D6772"/>
      <x:name val="Carlito"/>
    </x:font>
    <x:font>
      <x:b/>
      <x:sz val="20"/>
      <x:color rgb="FF2F2345"/>
      <x:name val="Carlito"/>
    </x:font>
    <x:font>
      <x:b/>
      <x:sz val="18"/>
      <x:color rgb="FF2F2345"/>
      <x:name val="Carlito"/>
    </x:font>
    <x:font>
      <x:sz val="10"/>
      <x:name val="Carlito"/>
    </x:font>
    <x:font>
      <x:b/>
      <x:sz val="11"/>
      <x:color rgb="FF2F2345"/>
      <x:name val="Carlito"/>
    </x:font>
    <x:font>
      <x:b/>
      <x:sz val="18"/>
      <x:color rgb="FF24212A"/>
      <x:name val="Aptos"/>
    </x:font>
    <x:font>
      <x:sz val="11"/>
      <x:color rgb="FF24212A"/>
      <x:name val="Aptos"/>
    </x:font>
    <x:font>
      <x:i/>
      <x:sz val="10"/>
      <x:color rgb="FF24212A"/>
      <x:name val="Aptos"/>
    </x:font>
    <x:font>
      <x:b/>
      <x:sz val="11"/>
      <x:color rgb="FF24212A"/>
      <x:name val="Aptos"/>
    </x:font>
    <x:font>
      <x:b/>
      <x:sz val="20"/>
      <x:color rgb="FF24212A"/>
      <x:name val="Aptos"/>
    </x:font>
    <x:font>
      <x:sz val="10"/>
      <x:color rgb="FF24212A"/>
      <x:name val="Aptos"/>
    </x:font>
    <x:font>
      <x:b/>
      <x:sz val="9"/>
      <x:color rgb="FF24212A"/>
      <x:name val="Aptos"/>
    </x:font>
    <x:font>
      <x:b/>
      <x:sz val="10"/>
      <x:color rgb="FF24212A"/>
      <x:name val="Aptos"/>
    </x:font>
  </x:fonts>
  <x:fills count="8">
    <x:fill>
      <x:patternFill patternType="none"/>
    </x:fill>
    <x:fill>
      <x:patternFill patternType="gray125"/>
    </x:fill>
    <x:fill>
      <x:patternFill patternType="solid">
        <x:fgColor rgb="FF3F315B"/>
      </x:patternFill>
    </x:fill>
    <x:fill>
      <x:patternFill patternType="solid">
        <x:fgColor rgb="FF2F2345"/>
      </x:patternFill>
    </x:fill>
    <x:fill>
      <x:patternFill patternType="solid">
        <x:fgColor rgb="FF5B3F8C"/>
      </x:patternFill>
    </x:fill>
    <x:fill>
      <x:patternFill patternType="solid">
        <x:fgColor rgb="FFF8F6FB"/>
      </x:patternFill>
    </x:fill>
    <x:fill>
      <x:patternFill patternType="solid">
        <x:fgColor rgb="FFEDE7F6"/>
      </x:patternFill>
    </x:fill>
    <x:fill>
      <x:patternFill patternType="solid">
        <x:fgColor rgb="FFFFFFFF"/>
      </x:patternFill>
    </x:fill>
  </x:fills>
  <x:borders count="2">
    <x:border/>
    <x:border/>
  </x:borders>
  <x:cellStyleXfs count="1">
    <x:xf numFmtId="0" fontId="0" fillId="0" borderId="0"/>
  </x:cellStyleXfs>
  <x:cellXfs count="17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2" borderId="1" xfId="0" applyNumberFormat="1" applyFont="1" applyFill="1" applyBorder="1"/>
    <x:xf numFmtId="0" fontId="2" fillId="2"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0" fillId="0" borderId="0" xfId="0" applyNumberFormat="1" applyFont="1" applyFill="1" applyBorder="1"/>
    <x:xf numFmtId="200" fontId="4" fillId="0" borderId="1" xfId="0" applyNumberFormat="1" applyFont="1" applyFill="1" applyBorder="1" applyAlignment="1">
      <x:alignment vertical="top" wrapText="1"/>
    </x:xf>
    <x:xf numFmtId="200" fontId="0" fillId="0" borderId="1"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vertical="center"/>
    </x:xf>
    <x:xf numFmtId="0" fontId="0"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vertical="center"/>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201" fontId="7" fillId="0" borderId="0" xfId="0" applyNumberFormat="1" applyFont="1" applyFill="1" applyBorder="1" applyAlignment="1">
      <x:alignment vertical="top" wrapText="1"/>
    </x:xf>
    <x:xf numFmtId="201" fontId="7" fillId="0" borderId="1" xfId="0" applyNumberFormat="1" applyFont="1" applyFill="1" applyBorder="1" applyAlignment="1">
      <x:alignment vertical="top" wrapText="1"/>
    </x:xf>
    <x:xf numFmtId="202" fontId="7" fillId="0" borderId="0" xfId="0" applyNumberFormat="1" applyFont="1" applyFill="1" applyBorder="1" applyAlignment="1">
      <x:alignment vertical="top" wrapText="1"/>
    </x:xf>
    <x:xf numFmtId="202" fontId="7" fillId="0" borderId="1"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1" xfId="0" applyNumberFormat="1" applyFont="1" applyFill="1" applyBorder="1"/>
    <x:xf numFmtId="0" fontId="8"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8" fillId="4" borderId="0" xfId="0" applyNumberFormat="1" applyFont="1" applyFill="1" applyBorder="1"/>
    <x:xf numFmtId="0" fontId="0" fillId="4" borderId="1" xfId="0" applyNumberFormat="1" applyFont="1" applyFill="1" applyBorder="1"/>
    <x:xf numFmtId="0" fontId="8"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9" fillId="2" borderId="0" xfId="0" applyNumberFormat="1" applyFont="1" applyFill="1" applyBorder="1"/>
    <x:xf numFmtId="0" fontId="9" fillId="2" borderId="0" xfId="0" applyNumberFormat="1" applyFont="1" applyFill="1" applyBorder="1" applyAlignment="1">
      <x:alignment horizontal="center"/>
    </x:xf>
    <x:xf numFmtId="0" fontId="9" fillId="2" borderId="1" xfId="0" applyNumberFormat="1" applyFont="1" applyFill="1" applyBorder="1"/>
    <x:xf numFmtId="0" fontId="9" fillId="2" borderId="1" xfId="0" applyNumberFormat="1" applyFont="1" applyFill="1" applyBorder="1" applyAlignment="1">
      <x:alignment horizontal="center"/>
    </x:xf>
    <x:xf numFmtId="0" fontId="0" fillId="6" borderId="0" xfId="0" applyNumberFormat="1" applyFont="1" applyFill="1" applyBorder="1"/>
    <x:xf numFmtId="0" fontId="10" fillId="6" borderId="0" xfId="0" applyNumberFormat="1" applyFont="1" applyFill="1" applyBorder="1"/>
    <x:xf numFmtId="0" fontId="0" fillId="6" borderId="1" xfId="0" applyNumberFormat="1" applyFont="1" applyFill="1" applyBorder="1"/>
    <x:xf numFmtId="0" fontId="10" fillId="6" borderId="1" xfId="0" applyNumberFormat="1" applyFont="1" applyFill="1" applyBorder="1"/>
    <x:xf numFmtId="0" fontId="8" fillId="2" borderId="0" xfId="0" applyNumberFormat="1" applyFont="1" applyFill="1" applyBorder="1" applyAlignment="1">
      <x:alignment horizontal="center" vertical="center"/>
    </x:xf>
    <x:xf numFmtId="0" fontId="8" fillId="2" borderId="1" xfId="0" applyNumberFormat="1" applyFont="1" applyFill="1" applyBorder="1" applyAlignment="1">
      <x:alignment horizontal="center" vertical="center"/>
    </x:xf>
    <x:xf numFmtId="0" fontId="11" fillId="5" borderId="0" xfId="0" applyNumberFormat="1" applyFont="1" applyFill="1" applyBorder="1"/>
    <x:xf numFmtId="0" fontId="11" fillId="5" borderId="0" xfId="0" applyNumberFormat="1" applyFont="1" applyFill="1" applyBorder="1" applyAlignment="1">
      <x:alignment horizontal="center"/>
    </x:xf>
    <x:xf numFmtId="0" fontId="11" fillId="5" borderId="0" xfId="0" applyNumberFormat="1" applyFont="1" applyFill="1" applyBorder="1" applyAlignment="1">
      <x:alignment horizontal="center" vertical="center"/>
    </x:xf>
    <x:xf numFmtId="0" fontId="11" fillId="5" borderId="1" xfId="0" applyNumberFormat="1" applyFont="1" applyFill="1" applyBorder="1"/>
    <x:xf numFmtId="0" fontId="11" fillId="5" borderId="1" xfId="0" applyNumberFormat="1" applyFont="1" applyFill="1" applyBorder="1" applyAlignment="1">
      <x:alignment horizontal="center"/>
    </x:xf>
    <x:xf numFmtId="0" fontId="11" fillId="5" borderId="1" xfId="0" applyNumberFormat="1" applyFont="1" applyFill="1" applyBorder="1" applyAlignment="1">
      <x:alignment horizontal="center" vertical="center"/>
    </x:xf>
    <x:xf numFmtId="203" fontId="11" fillId="5" borderId="0" xfId="0" applyNumberFormat="1" applyFont="1" applyFill="1" applyBorder="1" applyAlignment="1">
      <x:alignment horizontal="center" vertical="center"/>
    </x:xf>
    <x:xf numFmtId="203" fontId="11" fillId="5" borderId="1" xfId="0" applyNumberFormat="1" applyFont="1" applyFill="1" applyBorder="1" applyAlignment="1">
      <x:alignment horizontal="center" vertical="center"/>
    </x:xf>
    <x:xf numFmtId="201" fontId="11" fillId="5" borderId="0" xfId="0" applyNumberFormat="1" applyFont="1" applyFill="1" applyBorder="1" applyAlignment="1">
      <x:alignment horizontal="center" vertical="center"/>
    </x:xf>
    <x:xf numFmtId="201" fontId="11" fillId="5" borderId="1" xfId="0" applyNumberFormat="1" applyFont="1" applyFill="1" applyBorder="1" applyAlignment="1">
      <x:alignment horizontal="center" vertical="center"/>
    </x:xf>
    <x:xf numFmtId="202" fontId="11" fillId="5" borderId="0" xfId="0" applyNumberFormat="1" applyFont="1" applyFill="1" applyBorder="1" applyAlignment="1">
      <x:alignment horizontal="center" vertical="center"/>
    </x:xf>
    <x:xf numFmtId="202" fontId="11" fillId="5" borderId="1" xfId="0" applyNumberFormat="1" applyFont="1" applyFill="1" applyBorder="1" applyAlignment="1">
      <x:alignment horizontal="center" vertical="center"/>
    </x:xf>
    <x:xf numFmtId="0" fontId="8" fillId="4" borderId="0" xfId="0" applyNumberFormat="1" applyFont="1" applyFill="1" applyBorder="1" applyAlignment="1">
      <x:alignment horizontal="center"/>
    </x:xf>
    <x:xf numFmtId="0" fontId="8" fillId="4" borderId="0" xfId="0" applyNumberFormat="1" applyFont="1" applyFill="1" applyBorder="1" applyAlignment="1">
      <x:alignment horizontal="center" vertical="center"/>
    </x:xf>
    <x:xf numFmtId="0" fontId="8" fillId="4" borderId="1" xfId="0" applyNumberFormat="1" applyFont="1" applyFill="1" applyBorder="1" applyAlignment="1">
      <x:alignment horizontal="center"/>
    </x:xf>
    <x:xf numFmtId="0" fontId="8" fillId="4" borderId="1" xfId="0" applyNumberFormat="1" applyFont="1" applyFill="1" applyBorder="1" applyAlignment="1">
      <x:alignment horizontal="center" vertical="center"/>
    </x:xf>
    <x:xf numFmtId="0" fontId="12" fillId="5" borderId="0" xfId="0" applyNumberFormat="1" applyFont="1" applyFill="1" applyBorder="1"/>
    <x:xf numFmtId="0" fontId="12" fillId="5" borderId="0" xfId="0" applyNumberFormat="1" applyFont="1" applyFill="1" applyBorder="1" applyAlignment="1">
      <x:alignment horizontal="center"/>
    </x:xf>
    <x:xf numFmtId="0" fontId="12" fillId="5" borderId="0" xfId="0" applyNumberFormat="1" applyFont="1" applyFill="1" applyBorder="1" applyAlignment="1">
      <x:alignment horizontal="center" vertical="center"/>
    </x:xf>
    <x:xf numFmtId="0" fontId="12" fillId="5" borderId="1" xfId="0" applyNumberFormat="1" applyFont="1" applyFill="1" applyBorder="1"/>
    <x:xf numFmtId="0" fontId="12" fillId="5" borderId="1" xfId="0" applyNumberFormat="1" applyFont="1" applyFill="1" applyBorder="1" applyAlignment="1">
      <x:alignment horizontal="center"/>
    </x:xf>
    <x:xf numFmtId="0" fontId="12" fillId="5" borderId="1" xfId="0" applyNumberFormat="1" applyFont="1" applyFill="1" applyBorder="1" applyAlignment="1">
      <x:alignment horizontal="center" vertical="center"/>
    </x:xf>
    <x:xf numFmtId="203" fontId="12" fillId="5" borderId="0" xfId="0" applyNumberFormat="1" applyFont="1" applyFill="1" applyBorder="1" applyAlignment="1">
      <x:alignment horizontal="center" vertical="center"/>
    </x:xf>
    <x:xf numFmtId="203" fontId="12" fillId="5" borderId="1" xfId="0" applyNumberFormat="1" applyFont="1" applyFill="1" applyBorder="1" applyAlignment="1">
      <x:alignment horizontal="center" vertical="center"/>
    </x:xf>
    <x:xf numFmtId="202" fontId="12" fillId="5" borderId="0" xfId="0" applyNumberFormat="1" applyFont="1" applyFill="1" applyBorder="1" applyAlignment="1">
      <x:alignment horizontal="center" vertical="center"/>
    </x:xf>
    <x:xf numFmtId="202" fontId="12" fillId="5" borderId="1" xfId="0" applyNumberFormat="1" applyFont="1" applyFill="1" applyBorder="1" applyAlignment="1">
      <x:alignment horizontal="center" vertical="center"/>
    </x:xf>
    <x:xf numFmtId="0" fontId="0"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wrapText="1"/>
    </x:xf>
    <x:xf numFmtId="0" fontId="13" fillId="7" borderId="0" xfId="0" applyNumberFormat="1" applyFont="1" applyFill="1" applyBorder="1" applyAlignment="1">
      <x:alignment vertical="top" wrapText="1"/>
    </x:xf>
    <x:xf numFmtId="0" fontId="0" fillId="7" borderId="1" xfId="0" applyNumberFormat="1" applyFont="1" applyFill="1" applyBorder="1"/>
    <x:xf numFmtId="0" fontId="13" fillId="7" borderId="1" xfId="0" applyNumberFormat="1" applyFont="1" applyFill="1" applyBorder="1"/>
    <x:xf numFmtId="0" fontId="13" fillId="7" borderId="1" xfId="0" applyNumberFormat="1" applyFont="1" applyFill="1" applyBorder="1" applyAlignment="1">
      <x:alignment wrapText="1"/>
    </x:xf>
    <x:xf numFmtId="0" fontId="13" fillId="7" borderId="1" xfId="0" applyNumberFormat="1" applyFont="1" applyFill="1" applyBorder="1" applyAlignment="1">
      <x:alignment vertical="top" wrapText="1"/>
    </x:xf>
    <x:xf numFmtId="0" fontId="14" fillId="6" borderId="0" xfId="0" applyNumberFormat="1" applyFont="1" applyFill="1" applyBorder="1"/>
    <x:xf numFmtId="0" fontId="14" fillId="6" borderId="0" xfId="0" applyNumberFormat="1" applyFont="1" applyFill="1" applyBorder="1" applyAlignment="1">
      <x:alignment horizontal="center"/>
    </x:xf>
    <x:xf numFmtId="0" fontId="14" fillId="6" borderId="1" xfId="0" applyNumberFormat="1" applyFont="1" applyFill="1" applyBorder="1"/>
    <x:xf numFmtId="0" fontId="14" fillId="6" borderId="1" xfId="0" applyNumberFormat="1" applyFont="1" applyFill="1" applyBorder="1" applyAlignment="1">
      <x:alignment horizontal="center"/>
    </x:xf>
    <x:xf numFmtId="0" fontId="15" fillId="3" borderId="0" xfId="0" applyNumberFormat="1" applyFont="1" applyFill="1" applyBorder="1" applyAlignment="1">
      <x:alignment vertical="center"/>
    </x:xf>
    <x:xf numFmtId="0" fontId="16" fillId="0" borderId="0" xfId="0" applyNumberFormat="1" applyFont="1" applyFill="1" applyBorder="1"/>
    <x:xf numFmtId="0" fontId="17" fillId="6" borderId="0" xfId="0" applyNumberFormat="1" applyFont="1" applyFill="1" applyBorder="1"/>
    <x:xf numFmtId="0" fontId="18" fillId="2" borderId="0" xfId="0" applyNumberFormat="1" applyFont="1" applyFill="1" applyBorder="1" applyAlignment="1">
      <x:alignment horizontal="center" vertical="center"/>
    </x:xf>
    <x:xf numFmtId="203" fontId="19" fillId="5" borderId="0" xfId="0" applyNumberFormat="1" applyFont="1" applyFill="1" applyBorder="1" applyAlignment="1">
      <x:alignment horizontal="center" vertical="center"/>
    </x:xf>
    <x:xf numFmtId="0" fontId="19" fillId="5" borderId="0" xfId="0" applyNumberFormat="1" applyFont="1" applyFill="1" applyBorder="1" applyAlignment="1">
      <x:alignment horizontal="center" vertical="center"/>
    </x:xf>
    <x:xf numFmtId="201" fontId="19" fillId="5" borderId="0" xfId="0" applyNumberFormat="1" applyFont="1" applyFill="1" applyBorder="1" applyAlignment="1">
      <x:alignment horizontal="center" vertical="center"/>
    </x:xf>
    <x:xf numFmtId="202" fontId="19" fillId="5" borderId="0" xfId="0" applyNumberFormat="1" applyFont="1" applyFill="1" applyBorder="1" applyAlignment="1">
      <x:alignment horizontal="center" vertical="center"/>
    </x:xf>
    <x:xf numFmtId="0" fontId="18" fillId="4" borderId="0" xfId="0" applyNumberFormat="1" applyFont="1" applyFill="1" applyBorder="1" applyAlignment="1">
      <x:alignment horizontal="center" vertical="center"/>
    </x:xf>
    <x:xf numFmtId="203" fontId="15" fillId="5" borderId="0" xfId="0" applyNumberFormat="1" applyFont="1" applyFill="1" applyBorder="1" applyAlignment="1">
      <x:alignment horizontal="center" vertical="center"/>
    </x:xf>
    <x:xf numFmtId="0" fontId="15" fillId="5" borderId="0" xfId="0" applyNumberFormat="1" applyFont="1" applyFill="1" applyBorder="1" applyAlignment="1">
      <x:alignment horizontal="center" vertical="center"/>
    </x:xf>
    <x:xf numFmtId="202" fontId="15" fillId="5" borderId="0" xfId="0" applyNumberFormat="1" applyFont="1" applyFill="1" applyBorder="1" applyAlignment="1">
      <x:alignment horizontal="center" vertical="center"/>
    </x:xf>
    <x:xf numFmtId="0" fontId="18" fillId="2" borderId="0" xfId="0" applyNumberFormat="1" applyFont="1" applyFill="1" applyBorder="1"/>
    <x:xf numFmtId="0" fontId="20" fillId="7" borderId="0" xfId="0" applyNumberFormat="1" applyFont="1" applyFill="1" applyBorder="1" applyAlignment="1">
      <x:alignment vertical="top" wrapText="1"/>
    </x:xf>
    <x:xf numFmtId="0" fontId="21" fillId="2" borderId="0" xfId="0" applyNumberFormat="1" applyFont="1" applyFill="1" applyBorder="1" applyAlignment="1">
      <x:alignment horizontal="center" wrapText="1"/>
    </x:xf>
    <x:xf numFmtId="201" fontId="4" fillId="0" borderId="0" xfId="0" applyNumberFormat="1" applyFont="1" applyFill="1" applyBorder="1" applyAlignment="1">
      <x:alignment vertical="top" wrapText="1"/>
    </x:xf>
    <x:xf numFmtId="202" fontId="4" fillId="0" borderId="0" xfId="0" applyNumberFormat="1" applyFont="1" applyFill="1" applyBorder="1" applyAlignment="1">
      <x:alignment vertical="top" wrapText="1"/>
    </x:xf>
    <x:xf numFmtId="0" fontId="18" fillId="4" borderId="0" xfId="0" applyNumberFormat="1" applyFont="1" applyFill="1" applyBorder="1"/>
    <x:xf numFmtId="0" fontId="18" fillId="6" borderId="0" xfId="0" applyNumberFormat="1" applyFont="1" applyFill="1" applyBorder="1" applyAlignment="1">
      <x:alignment horizontal="center"/>
    </x:xf>
    <x:xf numFmtId="0" fontId="15" fillId="3" borderId="1" xfId="0" applyNumberFormat="1" applyFont="1" applyFill="1" applyBorder="1" applyAlignment="1">
      <x:alignment vertical="center"/>
    </x:xf>
    <x:xf numFmtId="0" fontId="16" fillId="0" borderId="1" xfId="0" applyNumberFormat="1" applyFont="1" applyFill="1" applyBorder="1"/>
    <x:xf numFmtId="0" fontId="17" fillId="6" borderId="1" xfId="0" applyNumberFormat="1" applyFont="1" applyFill="1" applyBorder="1"/>
    <x:xf numFmtId="0" fontId="18" fillId="2" borderId="1" xfId="0" applyNumberFormat="1" applyFont="1" applyFill="1" applyBorder="1" applyAlignment="1">
      <x:alignment horizontal="center" vertical="center"/>
    </x:xf>
    <x:xf numFmtId="203" fontId="19" fillId="5" borderId="1" xfId="0" applyNumberFormat="1" applyFont="1" applyFill="1" applyBorder="1" applyAlignment="1">
      <x:alignment horizontal="center" vertical="center"/>
    </x:xf>
    <x:xf numFmtId="0" fontId="19" fillId="5" borderId="1" xfId="0" applyNumberFormat="1" applyFont="1" applyFill="1" applyBorder="1" applyAlignment="1">
      <x:alignment horizontal="center" vertical="center"/>
    </x:xf>
    <x:xf numFmtId="201" fontId="19" fillId="5" borderId="1" xfId="0" applyNumberFormat="1" applyFont="1" applyFill="1" applyBorder="1" applyAlignment="1">
      <x:alignment horizontal="center" vertical="center"/>
    </x:xf>
    <x:xf numFmtId="202" fontId="19" fillId="5" borderId="1" xfId="0" applyNumberFormat="1" applyFont="1" applyFill="1" applyBorder="1" applyAlignment="1">
      <x:alignment horizontal="center" vertical="center"/>
    </x:xf>
    <x:xf numFmtId="0" fontId="18" fillId="4" borderId="1" xfId="0" applyNumberFormat="1" applyFont="1" applyFill="1" applyBorder="1" applyAlignment="1">
      <x:alignment horizontal="center" vertical="center"/>
    </x:xf>
    <x:xf numFmtId="203" fontId="15" fillId="5" borderId="1" xfId="0" applyNumberFormat="1" applyFont="1" applyFill="1" applyBorder="1" applyAlignment="1">
      <x:alignment horizontal="center" vertical="center"/>
    </x:xf>
    <x:xf numFmtId="0" fontId="15" fillId="5" borderId="1" xfId="0" applyNumberFormat="1" applyFont="1" applyFill="1" applyBorder="1" applyAlignment="1">
      <x:alignment horizontal="center" vertical="center"/>
    </x:xf>
    <x:xf numFmtId="202" fontId="15" fillId="5" borderId="1" xfId="0" applyNumberFormat="1" applyFont="1" applyFill="1" applyBorder="1" applyAlignment="1">
      <x:alignment horizontal="center" vertical="center"/>
    </x:xf>
    <x:xf numFmtId="0" fontId="18" fillId="2" borderId="1" xfId="0" applyNumberFormat="1" applyFont="1" applyFill="1" applyBorder="1"/>
    <x:xf numFmtId="0" fontId="20" fillId="7" borderId="1" xfId="0" applyNumberFormat="1" applyFont="1" applyFill="1" applyBorder="1" applyAlignment="1">
      <x:alignment vertical="top" wrapText="1"/>
    </x:xf>
    <x:xf numFmtId="0" fontId="21" fillId="2" borderId="1" xfId="0" applyNumberFormat="1" applyFont="1" applyFill="1" applyBorder="1" applyAlignment="1">
      <x:alignment horizontal="center" wrapText="1"/>
    </x:xf>
    <x:xf numFmtId="201" fontId="4" fillId="0" borderId="1" xfId="0" applyNumberFormat="1" applyFont="1" applyFill="1" applyBorder="1" applyAlignment="1">
      <x:alignment vertical="top" wrapText="1"/>
    </x:xf>
    <x:xf numFmtId="202" fontId="4" fillId="0" borderId="1" xfId="0" applyNumberFormat="1" applyFont="1" applyFill="1" applyBorder="1" applyAlignment="1">
      <x:alignment vertical="top" wrapText="1"/>
    </x:xf>
    <x:xf numFmtId="0" fontId="18" fillId="4" borderId="1" xfId="0" applyNumberFormat="1" applyFont="1" applyFill="1" applyBorder="1"/>
    <x:xf numFmtId="0" fontId="18" fillId="6" borderId="1" xfId="0" applyNumberFormat="1" applyFont="1" applyFill="1" applyBorder="1" applyAlignment="1">
      <x:alignment horizontal="center"/>
    </x:xf>
    <x:xf numFmtId="0" fontId="21" fillId="2" borderId="0" xfId="0" applyNumberFormat="1" applyFont="1" applyFill="1" applyBorder="1" applyAlignment="1">
      <x:alignment horizontal="center" vertical="center" wrapText="1"/>
    </x:xf>
    <x:xf numFmtId="200" fontId="16" fillId="0" borderId="0" xfId="0" applyNumberFormat="1" applyFont="1" applyFill="1" applyBorder="1"/>
    <x:xf numFmtId="0" fontId="21" fillId="2" borderId="1" xfId="0" applyNumberFormat="1" applyFont="1" applyFill="1" applyBorder="1" applyAlignment="1">
      <x:alignment horizontal="center" vertical="center" wrapText="1"/>
    </x:xf>
    <x:xf numFmtId="200" fontId="16" fillId="0" borderId="1" xfId="0" applyNumberFormat="1" applyFont="1" applyFill="1" applyBorder="1"/>
    <x:xf numFmtId="0" fontId="18" fillId="2" borderId="0" xfId="0" applyNumberFormat="1" applyFont="1" applyFill="1" applyBorder="1" applyAlignment="1">
      <x:alignment horizontal="center"/>
    </x:xf>
    <x:xf numFmtId="0" fontId="16" fillId="0" borderId="0" xfId="0" applyNumberFormat="1" applyFont="1" applyFill="1" applyBorder="1" applyAlignment="1">
      <x:alignment vertical="top" wrapText="1"/>
    </x:xf>
    <x:xf numFmtId="0" fontId="16" fillId="5" borderId="0" xfId="0" applyNumberFormat="1" applyFont="1" applyFill="1" applyBorder="1" applyAlignment="1">
      <x:alignment vertical="top" wrapText="1"/>
    </x:xf>
    <x:xf numFmtId="0" fontId="18" fillId="2" borderId="1" xfId="0" applyNumberFormat="1" applyFont="1" applyFill="1" applyBorder="1" applyAlignment="1">
      <x:alignment horizontal="center"/>
    </x:xf>
    <x:xf numFmtId="0" fontId="16" fillId="0" borderId="1" xfId="0" applyNumberFormat="1" applyFont="1" applyFill="1" applyBorder="1" applyAlignment="1">
      <x:alignment vertical="top" wrapText="1"/>
    </x:xf>
    <x:xf numFmtId="0" fontId="16" fillId="5" borderId="1" xfId="0" applyNumberFormat="1" applyFont="1" applyFill="1" applyBorder="1" applyAlignment="1">
      <x:alignment vertical="top" wrapText="1"/>
    </x:xf>
    <x:xf numFmtId="0" fontId="22" fillId="2" borderId="0" xfId="0" applyNumberFormat="1" applyFont="1" applyFill="1" applyBorder="1" applyAlignment="1">
      <x:alignment horizontal="center"/>
    </x:xf>
    <x:xf numFmtId="0" fontId="22" fillId="2" borderId="1" xfId="0" applyNumberFormat="1" applyFont="1" applyFill="1" applyBorder="1" applyAlignment="1">
      <x:alignment horizontal="center"/>
    </x:xf>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2" fillId="4" borderId="0" xfId="0" applyNumberFormat="1" applyFont="1" applyFill="1" applyBorder="1" applyAlignment="1">
      <x:alignment horizontal="center" vertical="center"/>
    </x:xf>
    <x:xf numFmtId="0" fontId="2" fillId="4" borderId="1" xfId="0" applyNumberFormat="1" applyFont="1" applyFill="1" applyBorder="1" applyAlignment="1">
      <x:alignment horizontal="center" vertical="center"/>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4" borderId="0" xfId="0" applyNumberFormat="1" applyFont="1" applyFill="1" applyBorder="1"/>
    <x:xf numFmtId="0" fontId="2" fillId="4" borderId="1" xfId="0" applyNumberFormat="1" applyFont="1" applyFill="1" applyBorder="1"/>
  </x:cellXfs>
  <x:cellStyles count="1">
    <x:cellStyle name="Normal" xfId="0"/>
  </x:cellStyles>
  <x:dxfs count="41">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8F6FB"/>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D9EAF7"/>
        </x:patternFill>
      </x:fill>
    </x:dxf>
    <x:dxf>
      <x:font>
        <x:b/>
      </x:font>
      <x:fill>
        <x:patternFill patternType="solid">
          <x:bgColor rgb="FFF4CCCC"/>
        </x:patternFill>
      </x:fill>
    </x:dxf>
    <x:dxf>
      <x:font>
        <x:b/>
      </x:font>
      <x:fill>
        <x:patternFill patternType="solid">
          <x:bgColor rgb="FFF8F6FB"/>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8F6FB"/>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D9EAF7"/>
        </x:patternFill>
      </x:fill>
    </x:dxf>
    <x:dxf>
      <x:font>
        <x:b/>
      </x:font>
      <x:fill>
        <x:patternFill patternType="solid">
          <x:bgColor rgb="FFF4CCCC"/>
        </x:patternFill>
      </x:fill>
    </x:dxf>
    <x:dxf>
      <x:font>
        <x:b/>
      </x:font>
      <x:fill>
        <x:patternFill patternType="solid">
          <x:bgColor rgb="FFF8F6FB"/>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8F6F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f91fabcf6e481c" /><Relationship Type="http://schemas.openxmlformats.org/officeDocument/2006/relationships/theme" Target="/xl/theme/theme1.xml" Id="Raed964ba9d91475b" /><Relationship Type="http://schemas.openxmlformats.org/officeDocument/2006/relationships/sharedStrings" Target="/xl/sharedStrings.xml" Id="R404d58c501b5493f" /><Relationship Type="http://schemas.openxmlformats.org/officeDocument/2006/relationships/worksheet" Target="/xl/worksheets/sheet1.xml" Id="R76f256437bfd4425" /><Relationship Type="http://schemas.openxmlformats.org/officeDocument/2006/relationships/worksheet" Target="/xl/worksheets/sheet2.xml" Id="Re7badddca030456c" /><Relationship Type="http://schemas.openxmlformats.org/officeDocument/2006/relationships/worksheet" Target="/xl/worksheets/sheet3.xml" Id="Re786d990ae684d10" /><Relationship Type="http://schemas.openxmlformats.org/officeDocument/2006/relationships/worksheet" Target="/xl/worksheets/sheet4.xml" Id="R6b0d8cfd0f6b4be5" /><Relationship Type="http://schemas.openxmlformats.org/officeDocument/2006/relationships/worksheet" Target="/xl/worksheets/sheet5.xml" Id="Re54c89568c7147ff" /><Relationship Type="http://schemas.openxmlformats.org/officeDocument/2006/relationships/worksheet" Target="/xl/worksheets/sheet6.xml" Id="R69ad1082d34041b7" /><Relationship Type="http://schemas.openxmlformats.org/officeDocument/2006/relationships/worksheet" Target="/xl/worksheets/sheet7.xml" Id="Rf8cd79729d1046cb" /><Relationship Type="http://schemas.openxmlformats.org/officeDocument/2006/relationships/worksheet" Target="/xl/worksheets/sheet8.xml" Id="Rdf36b39e369c439a" /><Relationship Type="http://schemas.openxmlformats.org/officeDocument/2006/relationships/worksheet" Target="/xl/worksheets/sheet9.xml" Id="R1821977529554b4a" /></Relationships>
</file>

<file path=xl/drawings/_rels/drawing1.xml.rels>&#65279;<?xml version="1.0" encoding="utf-8"?><Relationships xmlns="http://schemas.openxmlformats.org/package/2006/relationships"><Relationship Type="http://schemas.openxmlformats.org/officeDocument/2006/relationships/chart" Target="/xl/drawings/charts/chart1.xml" Id="R270ade54c63b4461" /></Relationships>
</file>

<file path=xl/drawings/_rels/drawing2.xml.rels>&#65279;<?xml version="1.0" encoding="utf-8"?><Relationships xmlns="http://schemas.openxmlformats.org/package/2006/relationships"><Relationship Type="http://schemas.openxmlformats.org/officeDocument/2006/relationships/chart" Target="/xl/drawings/charts/chart2.xml" Id="R7f2aeb58d02649d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CSF 2.0 Function Alignment</a:t>
            </a:r>
          </a:p>
        </c:rich>
      </c:tx>
    </c:title>
    <c:plotArea>
      <c:barChart>
        <c:barDir val="col"/>
        <c:varyColors val="0"/>
        <c:ser>
          <c:idx val="0"/>
          <c:order val="0"/>
          <c:tx>
            <c:v>Current Alignment</c:v>
          </c:tx>
          <c:cat>
            <c:strRef>
              <c:f>'Executive Summary'!$A$21:$A$26</c:f>
              <c:strCache>
                <c:ptCount val="0"/>
              </c:strCache>
            </c:strRef>
          </c:cat>
          <c:val>
            <c:numRef>
              <c:f>'Executive Summary'!$B$21:$B$26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CSF 2.0 Function Alignment to Target</a:t>
            </a:r>
          </a:p>
        </c:rich>
      </c:tx>
    </c:title>
    <c:plotArea>
      <c:barChart>
        <c:barDir val="col"/>
        <c:varyColors val="0"/>
        <c:ser>
          <c:idx val="0"/>
          <c:order val="0"/>
          <c:tx>
            <c:v>Categories</c:v>
          </c:tx>
          <c:cat>
            <c:strRef>
              <c:f>'Function Summary'!$A$5:$A$10</c:f>
              <c:strCache>
                <c:ptCount val="0"/>
              </c:strCache>
            </c:strRef>
          </c:cat>
          <c:val>
            <c:numRef>
              <c:f>'Function Summary'!$B$5:$B$10</c:f>
              <c:numCache>
                <c:formatCode>General</c:formatCode>
                <c:ptCount val="0"/>
              </c:numCache>
            </c:numRef>
          </c:val>
        </c:ser>
        <c:ser>
          <c:idx val="1"/>
          <c:order val="1"/>
          <c:tx>
            <c:v>Weighted Current</c:v>
          </c:tx>
          <c:cat>
            <c:strRef>
              <c:f>'Function Summary'!$A$5:$A$10</c:f>
              <c:strCache>
                <c:ptCount val="0"/>
              </c:strCache>
            </c:strRef>
          </c:cat>
          <c:val>
            <c:numRef>
              <c:f>'Function Summary'!$C$5:$C$10</c:f>
              <c:numCache>
                <c:formatCode>General</c:formatCode>
                <c:ptCount val="0"/>
              </c:numCache>
            </c:numRef>
          </c:val>
        </c:ser>
        <c:ser>
          <c:idx val="2"/>
          <c:order val="2"/>
          <c:tx>
            <c:v>Weighted Target</c:v>
          </c:tx>
          <c:cat>
            <c:strRef>
              <c:f>'Function Summary'!$A$5:$A$10</c:f>
              <c:strCache>
                <c:ptCount val="0"/>
              </c:strCache>
            </c:strRef>
          </c:cat>
          <c:val>
            <c:numRef>
              <c:f>'Function Summary'!$D$5:$D$10</c:f>
              <c:numCache>
                <c:formatCode>General</c:formatCode>
                <c:ptCount val="0"/>
              </c:numCache>
            </c:numRef>
          </c:val>
        </c:ser>
        <c:ser>
          <c:idx val="3"/>
          <c:order val="3"/>
          <c:tx>
            <c:v>Alignment to Target</c:v>
          </c:tx>
          <c:cat>
            <c:strRef>
              <c:f>'Function Summary'!$A$5:$A$10</c:f>
              <c:strCache>
                <c:ptCount val="0"/>
              </c:strCache>
            </c:strRef>
          </c:cat>
          <c:val>
            <c:numRef>
              <c:f>'Function Summary'!$E$5:$E$10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0ade54c63b4461"/>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3</xdr:row>
      <xdr:rowOff>0</xdr:rowOff>
    </xdr:from>
    <xdr:to>
      <xdr:col>17</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2aeb58d02649de"/>
        </a:graphicData>
      </a:graphic>
    </xdr:graphicFrame>
    <xdr:clientData/>
  </xdr:twoCellAnchor>
</xdr:wsDr>
</file>

<file path=xl/tables/table1.xml><?xml version="1.0" encoding="utf-8"?>
<x:table xmlns:x="http://schemas.openxmlformats.org/spreadsheetml/2006/main" id="1" name="CSF20ProfileTable" displayName="CSF20ProfileTable" ref="A1:P23" headerRowCount="1" totalsRowCount="0" totalsRowShown="0">
  <x:tableColumns count="16">
    <x:tableColumn id="1" name="Function"/>
    <x:tableColumn id="2" name="Category ID"/>
    <x:tableColumn id="3" name="Category"/>
    <x:tableColumn id="4" name="Outcome Focus"/>
    <x:tableColumn id="5" name="Importance Weight"/>
    <x:tableColumn id="6" name="Current Score"/>
    <x:tableColumn id="7" name="Target Score"/>
    <x:tableColumn id="8" name="Gap"/>
    <x:tableColumn id="9" name="Current Implementation / Evidence"/>
    <x:tableColumn id="10" name="Key Gap / Weakness"/>
    <x:tableColumn id="11" name="Linked Risk IDs"/>
    <x:tableColumn id="12" name="Primary Improvement"/>
    <x:tableColumn id="13" name="Control Owner"/>
    <x:tableColumn id="14" name="Target Date"/>
    <x:tableColumn id="15" name="Status"/>
    <x:tableColumn id="16" name="Evidence Status"/>
  </x:tableColumns>
  <x:tableStyleInfo name="TableStyleMedium2" showFirstColumn="0" showLastColumn="0" showRowStripes="1" showColumnStripes="0"/>
</x:table>
</file>

<file path=xl/tables/table2.xml><?xml version="1.0" encoding="utf-8"?>
<x:table xmlns:x="http://schemas.openxmlformats.org/spreadsheetml/2006/main" id="2" name="RiskToCSFTable" displayName="RiskToCSFTable" ref="A1:H23" headerRowCount="1" totalsRowCount="0" totalsRowShown="0">
  <x:tableColumns count="8">
    <x:tableColumn id="1" name="Risk ID"/>
    <x:tableColumn id="2" name="Risk Title"/>
    <x:tableColumn id="3" name="Residual Rating"/>
    <x:tableColumn id="4" name="Residual Score"/>
    <x:tableColumn id="5" name="Primary CSF Categories"/>
    <x:tableColumn id="6" name="Secondary CSF Categories"/>
    <x:tableColumn id="7" name="Why These Categories Matter"/>
    <x:tableColumn id="8" name="Highest-Priority Control Response"/>
  </x:tableColumns>
  <x:tableStyleInfo name="TableStyleMedium2" showFirstColumn="0" showLastColumn="0" showRowStripes="1" showColumnStripes="0"/>
</x:table>
</file>

<file path=xl/tables/table3.xml><?xml version="1.0" encoding="utf-8"?>
<x:table xmlns:x="http://schemas.openxmlformats.org/spreadsheetml/2006/main" id="3" name="CSFGapActionPlan" displayName="CSFGapActionPlan" ref="A1:K19" headerRowCount="1" totalsRowCount="0" totalsRowShown="0">
  <x:tableColumns count="11">
    <x:tableColumn id="1" name="Action ID"/>
    <x:tableColumn id="2" name="CSF Category"/>
    <x:tableColumn id="3" name="Priority"/>
    <x:tableColumn id="4" name="Remediation Action"/>
    <x:tableColumn id="5" name="Primary Risk IDs"/>
    <x:tableColumn id="6" name="Owner"/>
    <x:tableColumn id="7" name="Target Date"/>
    <x:tableColumn id="8" name="Status"/>
    <x:tableColumn id="9" name="Success Measure / Evidence"/>
    <x:tableColumn id="10" name="Expected Score Change"/>
    <x:tableColumn id="11" name="Dependencies"/>
  </x:tableColumns>
  <x:tableStyleInfo name="TableStyleMedium2" showFirstColumn="0" showLastColumn="0" showRowStripes="1" showColumnStripes="0"/>
</x:table>
</file>

<file path=xl/tables/table4.xml><?xml version="1.0" encoding="utf-8"?>
<x:table xmlns:x="http://schemas.openxmlformats.org/spreadsheetml/2006/main" id="4" name="CSFEvidenceRegister" displayName="CSFEvidenceRegister" ref="A1:G16" headerRowCount="1" totalsRowCount="0" totalsRowShown="0">
  <x:tableColumns count="7">
    <x:tableColumn id="1" name="Evidence ID"/>
    <x:tableColumn id="2" name="CSF Category"/>
    <x:tableColumn id="3" name="Evidence / Artifact"/>
    <x:tableColumn id="4" name="Owner"/>
    <x:tableColumn id="5" name="Current Status"/>
    <x:tableColumn id="6" name="Review Frequency"/>
    <x:tableColumn id="7" name="Use / Assurance Purpo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c902dfb6ffb484a" /></Relationships>
</file>

<file path=xl/worksheets/_rels/sheet2.xml.rels>&#65279;<?xml version="1.0" encoding="utf-8"?><Relationships xmlns="http://schemas.openxmlformats.org/package/2006/relationships"><Relationship Type="http://schemas.openxmlformats.org/officeDocument/2006/relationships/table" Target="/xl/tables/table1.xml" Id="Rf4fe536662254c43" /></Relationships>
</file>

<file path=xl/worksheets/_rels/sheet3.xml.rels>&#65279;<?xml version="1.0" encoding="utf-8"?><Relationships xmlns="http://schemas.openxmlformats.org/package/2006/relationships"><Relationship Type="http://schemas.openxmlformats.org/officeDocument/2006/relationships/table" Target="/xl/tables/table2.xml" Id="Rb0b8a2fd74ea4b1d" /></Relationships>
</file>

<file path=xl/worksheets/_rels/sheet4.xml.rels>&#65279;<?xml version="1.0" encoding="utf-8"?><Relationships xmlns="http://schemas.openxmlformats.org/package/2006/relationships"><Relationship Type="http://schemas.openxmlformats.org/officeDocument/2006/relationships/table" Target="/xl/tables/table3.xml" Id="R99849a42e1b24846" /></Relationships>
</file>

<file path=xl/worksheets/_rels/sheet5.xml.rels>&#65279;<?xml version="1.0" encoding="utf-8"?><Relationships xmlns="http://schemas.openxmlformats.org/package/2006/relationships"><Relationship Type="http://schemas.openxmlformats.org/officeDocument/2006/relationships/drawing" Target="/xl/drawings/drawing2.xml" Id="Rc57cefca139149d7" /></Relationships>
</file>

<file path=xl/worksheets/_rels/sheet6.xml.rels>&#65279;<?xml version="1.0" encoding="utf-8"?><Relationships xmlns="http://schemas.openxmlformats.org/package/2006/relationships"><Relationship Type="http://schemas.openxmlformats.org/officeDocument/2006/relationships/table" Target="/xl/tables/table4.xml" Id="Re629bab2a8864bdc" /></Relationships>
</file>

<file path=xl/worksheets/sheet1.xml><?xml version="1.0" encoding="utf-8"?>
<x:worksheet xmlns:x="http://schemas.openxmlformats.org/spreadsheetml/2006/main">
  <x:sheetFormatPr defaultRowHeight="15"/>
  <x:cols>
    <x:col min="1" max="1" width="12" hidden="0" customWidth="1"/>
    <x:col min="2" max="2" width="46" hidden="0" customWidth="1"/>
    <x:col min="3" max="3" width="20" hidden="0" customWidth="1"/>
    <x:col min="4" max="4" width="13" hidden="0" customWidth="1"/>
    <x:col min="5" max="5" width="27" hidden="0" customWidth="1"/>
    <x:col min="6" max="6" width="14" hidden="0" customWidth="1"/>
    <x:col min="7" max="7" width="14" hidden="0" customWidth="1"/>
    <x:col min="8" max="8" width="28" hidden="0" customWidth="1"/>
  </x:cols>
  <x:sheetData>
    <x:row r="1">
      <x:c r="A1" s="30" t="str">
        <x:v>NIST CSF 2.0 — Current vs. Target Cybersecurity Profile</x:v>
      </x:c>
      <x:c r="B1" s="30"/>
      <x:c r="C1" s="30"/>
      <x:c r="D1" s="30"/>
      <x:c r="E1" s="30"/>
      <x:c r="F1" s="30"/>
      <x:c r="G1" s="30"/>
      <x:c r="H1" s="30"/>
      <x:c r="I1" s="119"/>
      <x:c r="J1" s="119"/>
      <x:c r="K1" s="119"/>
      <x:c r="L1" s="119"/>
      <x:c r="M1" s="119"/>
      <x:c r="N1" s="119"/>
      <x:c r="O1" s="119"/>
      <x:c r="P1" s="119"/>
    </x:row>
    <x:row r="2">
      <x:c r="A2" s="30"/>
      <x:c r="B2" s="30"/>
      <x:c r="C2" s="30"/>
      <x:c r="D2" s="30"/>
      <x:c r="E2" s="30"/>
      <x:c r="F2" s="30"/>
      <x:c r="G2" s="30"/>
      <x:c r="H2" s="30"/>
      <x:c r="I2" s="119"/>
      <x:c r="J2" s="119"/>
      <x:c r="K2" s="119"/>
      <x:c r="L2" s="119"/>
      <x:c r="M2" s="119"/>
      <x:c r="N2" s="119"/>
      <x:c r="O2" s="119"/>
      <x:c r="P2" s="119"/>
    </x:row>
    <x:row r="3">
      <x:c r="A3" s="120" t="str">
        <x:v>IslandLink Business Services Ltd. (Fictional) | Project 2 — Control Mapping</x:v>
      </x:c>
      <x:c r="B3" s="120"/>
      <x:c r="C3" s="120"/>
      <x:c r="D3" s="120"/>
      <x:c r="E3" s="120"/>
      <x:c r="F3" s="120"/>
      <x:c r="G3" s="120"/>
      <x:c r="H3" s="120"/>
      <x:c r="I3" s="119"/>
      <x:c r="J3" s="119"/>
      <x:c r="K3" s="119"/>
      <x:c r="L3" s="119"/>
      <x:c r="M3" s="119"/>
      <x:c r="N3" s="119"/>
      <x:c r="O3" s="119"/>
      <x:c r="P3" s="119"/>
    </x:row>
    <x:row r="4">
      <x:c r="A4" s="119"/>
      <x:c r="B4" s="119"/>
      <x:c r="C4" s="119"/>
      <x:c r="D4" s="119"/>
      <x:c r="E4" s="119"/>
      <x:c r="F4" s="119"/>
      <x:c r="G4" s="119"/>
      <x:c r="H4" s="119"/>
      <x:c r="I4" s="119"/>
      <x:c r="J4" s="119"/>
      <x:c r="K4" s="119"/>
      <x:c r="L4" s="119"/>
      <x:c r="M4" s="119"/>
      <x:c r="N4" s="119"/>
      <x:c r="O4" s="119"/>
      <x:c r="P4" s="119"/>
    </x:row>
    <x:row r="5">
      <x:c r="A5" s="170" t="str">
        <x:v>CSF Categories</x:v>
      </x:c>
      <x:c r="B5" s="170"/>
      <x:c r="C5" s="170" t="str">
        <x:v>Current Alignment</x:v>
      </x:c>
      <x:c r="D5" s="170"/>
      <x:c r="E5" s="170" t="str">
        <x:v>Target Score</x:v>
      </x:c>
      <x:c r="F5" s="170"/>
      <x:c r="G5" s="170" t="str">
        <x:v>Priority Gaps</x:v>
      </x:c>
      <x:c r="H5" s="170"/>
      <x:c r="I5" s="119"/>
      <x:c r="J5" s="119"/>
      <x:c r="K5" s="119"/>
      <x:c r="L5" s="119"/>
      <x:c r="M5" s="119"/>
      <x:c r="N5" s="119"/>
      <x:c r="O5" s="119"/>
      <x:c r="P5" s="119"/>
    </x:row>
    <x:row r="6">
      <x:c r="A6" s="122" t="n">
        <x:f>COUNTA('CSF 2.0 Profile'!B2:B23)</x:f>
        <x:v>22</x:v>
      </x:c>
      <x:c r="B6" s="123"/>
      <x:c r="C6" s="124" t="n">
        <x:f>IFERROR(SUMPRODUCT('CSF 2.0 Profile'!E2:E23,'CSF 2.0 Profile'!F2:F23)/SUMPRODUCT('CSF 2.0 Profile'!E2:E23,'CSF 2.0 Profile'!G2:G23),0)</x:f>
        <x:v>0.45843828715365237</x:v>
      </x:c>
      <x:c r="D6" s="123"/>
      <x:c r="E6" s="125" t="n">
        <x:f>AVERAGE('CSF 2.0 Profile'!G2:G23)</x:f>
        <x:v>3.8181818181818183</x:v>
      </x:c>
      <x:c r="F6" s="123"/>
      <x:c r="G6" s="122" t="n">
        <x:f>COUNTIF('Gap Action Plan'!C2:C19,"Critical")+COUNTIF('Gap Action Plan'!C2:C19,"High")</x:f>
        <x:v>13</x:v>
      </x:c>
      <x:c r="H6" s="123"/>
      <x:c r="I6" s="119"/>
      <x:c r="J6" s="119"/>
      <x:c r="K6" s="119"/>
      <x:c r="L6" s="119"/>
      <x:c r="M6" s="119"/>
      <x:c r="N6" s="119"/>
      <x:c r="O6" s="119"/>
      <x:c r="P6" s="119"/>
    </x:row>
    <x:row r="7">
      <x:c r="A7" s="123"/>
      <x:c r="B7" s="123"/>
      <x:c r="C7" s="123"/>
      <x:c r="D7" s="123"/>
      <x:c r="E7" s="123"/>
      <x:c r="F7" s="123"/>
      <x:c r="G7" s="123"/>
      <x:c r="H7" s="123"/>
      <x:c r="I7" s="119"/>
      <x:c r="J7" s="119"/>
      <x:c r="K7" s="119"/>
      <x:c r="L7" s="119"/>
      <x:c r="M7" s="119"/>
      <x:c r="N7" s="119"/>
      <x:c r="O7" s="119"/>
      <x:c r="P7" s="119"/>
    </x:row>
    <x:row r="8">
      <x:c r="A8" s="119"/>
      <x:c r="B8" s="119"/>
      <x:c r="C8" s="119"/>
      <x:c r="D8" s="119"/>
      <x:c r="E8" s="119"/>
      <x:c r="F8" s="119"/>
      <x:c r="G8" s="119"/>
      <x:c r="H8" s="119"/>
      <x:c r="I8" s="119"/>
      <x:c r="J8" s="119"/>
      <x:c r="K8" s="119"/>
      <x:c r="L8" s="119"/>
      <x:c r="M8" s="119"/>
      <x:c r="N8" s="119"/>
      <x:c r="O8" s="119"/>
      <x:c r="P8" s="119"/>
    </x:row>
    <x:row r="9">
      <x:c r="A9" s="172" t="str">
        <x:v>Actions In Progress</x:v>
      </x:c>
      <x:c r="B9" s="172"/>
      <x:c r="C9" s="172" t="str">
        <x:v>Missing Evidence</x:v>
      </x:c>
      <x:c r="D9" s="172"/>
      <x:c r="E9" s="172" t="str">
        <x:v>Largest Avg. Gap</x:v>
      </x:c>
      <x:c r="F9" s="172"/>
      <x:c r="G9" s="172" t="str">
        <x:v>High Residual Risks</x:v>
      </x:c>
      <x:c r="H9" s="172"/>
      <x:c r="I9" s="119"/>
      <x:c r="J9" s="119"/>
      <x:c r="K9" s="119"/>
      <x:c r="L9" s="119"/>
      <x:c r="M9" s="119"/>
      <x:c r="N9" s="119"/>
      <x:c r="O9" s="119"/>
      <x:c r="P9" s="119"/>
    </x:row>
    <x:row r="10">
      <x:c r="A10" s="127" t="n">
        <x:f>COUNTIF('Gap Action Plan'!H2:H19,"In Progress")</x:f>
        <x:v>6</x:v>
      </x:c>
      <x:c r="B10" s="128"/>
      <x:c r="C10" s="127" t="n">
        <x:f>COUNTIF('Evidence Register'!E2:E16,"Missing")</x:f>
        <x:v>3</x:v>
      </x:c>
      <x:c r="D10" s="128"/>
      <x:c r="E10" s="129" t="n">
        <x:f>MAX('Function Summary'!F5:F10)</x:f>
        <x:v>3</x:v>
      </x:c>
      <x:c r="F10" s="128"/>
      <x:c r="G10" s="127" t="n">
        <x:f>COUNTIF('Risk to CSF Mapping'!C2:C23,"High")+COUNTIF('Risk to CSF Mapping'!C2:C23,"Critical")</x:f>
        <x:v>6</x:v>
      </x:c>
      <x:c r="H10" s="128"/>
      <x:c r="I10" s="119"/>
      <x:c r="J10" s="119"/>
      <x:c r="K10" s="119"/>
      <x:c r="L10" s="119"/>
      <x:c r="M10" s="119"/>
      <x:c r="N10" s="119"/>
      <x:c r="O10" s="119"/>
      <x:c r="P10" s="119"/>
    </x:row>
    <x:row r="11">
      <x:c r="A11" s="128"/>
      <x:c r="B11" s="128"/>
      <x:c r="C11" s="128"/>
      <x:c r="D11" s="128"/>
      <x:c r="E11" s="128"/>
      <x:c r="F11" s="128"/>
      <x:c r="G11" s="128"/>
      <x:c r="H11" s="128"/>
      <x:c r="I11" s="119"/>
      <x:c r="J11" s="119"/>
      <x:c r="K11" s="119"/>
      <x:c r="L11" s="119"/>
      <x:c r="M11" s="119"/>
      <x:c r="N11" s="119"/>
      <x:c r="O11" s="119"/>
      <x:c r="P11" s="119"/>
    </x:row>
    <x:row r="12">
      <x:c r="A12" s="119"/>
      <x:c r="B12" s="119"/>
      <x:c r="C12" s="119"/>
      <x:c r="D12" s="119"/>
      <x:c r="E12" s="119"/>
      <x:c r="F12" s="119"/>
      <x:c r="G12" s="119"/>
      <x:c r="H12" s="119"/>
      <x:c r="I12" s="119"/>
      <x:c r="J12" s="119"/>
      <x:c r="K12" s="119"/>
      <x:c r="L12" s="119"/>
      <x:c r="M12" s="119"/>
      <x:c r="N12" s="119"/>
      <x:c r="O12" s="119"/>
      <x:c r="P12" s="119"/>
    </x:row>
    <x:row r="13">
      <x:c r="A13" s="5" t="str">
        <x:v>Executive Interpretation</x:v>
      </x:c>
      <x:c r="B13" s="5"/>
      <x:c r="C13" s="5"/>
      <x:c r="D13" s="5"/>
      <x:c r="E13" s="5"/>
      <x:c r="F13" s="5"/>
      <x:c r="G13" s="5"/>
      <x:c r="H13" s="5"/>
      <x:c r="I13" s="119"/>
      <x:c r="J13" s="119"/>
      <x:c r="K13" s="119"/>
      <x:c r="L13" s="119"/>
      <x:c r="M13" s="119"/>
      <x:c r="N13" s="119"/>
      <x:c r="O13" s="119"/>
      <x:c r="P13" s="119"/>
    </x:row>
    <x:row r="14">
      <x:c r="A14" s="131" t="str">
        <x:v>The fictional organization has a strong foundation in asset and risk identification, but material control gaps remain in supplier governance, access control, data protection, infrastructure resilience, monitoring, incident analysis and recovery validation. The Current Profile is compared with a risk-informed Target Profile across all 22 NIST CSF 2.0 Categories. Priority remediation is concentrated on universal MFA, privileged access, immutable recovery, platform hardening, supplier governance, centralized monitoring, incident-response formalization and cloud data protection.</x:v>
      </x:c>
      <x:c r="B14" s="131"/>
      <x:c r="C14" s="131"/>
      <x:c r="D14" s="131"/>
      <x:c r="E14" s="131"/>
      <x:c r="F14" s="131"/>
      <x:c r="G14" s="131"/>
      <x:c r="H14" s="131"/>
      <x:c r="I14" s="119"/>
      <x:c r="J14" s="119"/>
      <x:c r="K14" s="119"/>
      <x:c r="L14" s="119"/>
      <x:c r="M14" s="119"/>
      <x:c r="N14" s="119"/>
      <x:c r="O14" s="119"/>
      <x:c r="P14" s="119"/>
    </x:row>
    <x:row r="15">
      <x:c r="A15" s="131"/>
      <x:c r="B15" s="131"/>
      <x:c r="C15" s="131"/>
      <x:c r="D15" s="131"/>
      <x:c r="E15" s="131"/>
      <x:c r="F15" s="131"/>
      <x:c r="G15" s="131"/>
      <x:c r="H15" s="131"/>
      <x:c r="I15" s="119"/>
      <x:c r="J15" s="119"/>
      <x:c r="K15" s="119"/>
      <x:c r="L15" s="119"/>
      <x:c r="M15" s="119"/>
      <x:c r="N15" s="119"/>
      <x:c r="O15" s="119"/>
      <x:c r="P15" s="119"/>
    </x:row>
    <x:row r="16">
      <x:c r="A16" s="131"/>
      <x:c r="B16" s="131"/>
      <x:c r="C16" s="131"/>
      <x:c r="D16" s="131"/>
      <x:c r="E16" s="131"/>
      <x:c r="F16" s="131"/>
      <x:c r="G16" s="131"/>
      <x:c r="H16" s="131"/>
      <x:c r="I16" s="119"/>
      <x:c r="J16" s="119"/>
      <x:c r="K16" s="119"/>
      <x:c r="L16" s="119"/>
      <x:c r="M16" s="119"/>
      <x:c r="N16" s="119"/>
      <x:c r="O16" s="119"/>
      <x:c r="P16" s="119"/>
    </x:row>
    <x:row r="17">
      <x:c r="A17" s="131"/>
      <x:c r="B17" s="131"/>
      <x:c r="C17" s="131"/>
      <x:c r="D17" s="131"/>
      <x:c r="E17" s="131"/>
      <x:c r="F17" s="131"/>
      <x:c r="G17" s="131"/>
      <x:c r="H17" s="131"/>
      <x:c r="I17" s="119"/>
      <x:c r="J17" s="119"/>
      <x:c r="K17" s="119"/>
      <x:c r="L17" s="119"/>
      <x:c r="M17" s="119"/>
      <x:c r="N17" s="119"/>
      <x:c r="O17" s="119"/>
      <x:c r="P17" s="119"/>
    </x:row>
    <x:row r="18">
      <x:c r="A18" s="131"/>
      <x:c r="B18" s="131"/>
      <x:c r="C18" s="131"/>
      <x:c r="D18" s="131"/>
      <x:c r="E18" s="131"/>
      <x:c r="F18" s="131"/>
      <x:c r="G18" s="131"/>
      <x:c r="H18" s="131"/>
      <x:c r="I18" s="119"/>
      <x:c r="J18" s="119"/>
      <x:c r="K18" s="119"/>
      <x:c r="L18" s="119"/>
      <x:c r="M18" s="119"/>
      <x:c r="N18" s="119"/>
      <x:c r="O18" s="119"/>
      <x:c r="P18" s="119"/>
    </x:row>
    <x:row r="19">
      <x:c r="A19" s="119"/>
      <x:c r="B19" s="119"/>
      <x:c r="C19" s="119"/>
      <x:c r="D19" s="119"/>
      <x:c r="E19" s="119"/>
      <x:c r="F19" s="119"/>
      <x:c r="G19" s="119"/>
      <x:c r="H19" s="119"/>
      <x:c r="I19" s="119"/>
      <x:c r="J19" s="119"/>
      <x:c r="K19" s="119"/>
      <x:c r="L19" s="119"/>
      <x:c r="M19" s="119"/>
      <x:c r="N19" s="119"/>
      <x:c r="O19" s="119"/>
      <x:c r="P19" s="119"/>
    </x:row>
    <x:row r="20">
      <x:c r="A20" s="174" t="str">
        <x:v>Function</x:v>
      </x:c>
      <x:c r="B20" s="174" t="str">
        <x:v>Current Alignment</x:v>
      </x:c>
      <x:c r="C20" s="174" t="str">
        <x:v>Average Gap</x:v>
      </x:c>
      <x:c r="D20" s="174" t="str">
        <x:v>Categories</x:v>
      </x:c>
      <x:c r="E20" s="174" t="str">
        <x:v>Primary Weakness</x:v>
      </x:c>
      <x:c r="F20" s="174" t="str">
        <x:v>Priority</x:v>
      </x:c>
      <x:c r="G20" s="119"/>
      <x:c r="H20" s="119"/>
      <x:c r="I20" s="119"/>
      <x:c r="J20" s="119"/>
      <x:c r="K20" s="119"/>
      <x:c r="L20" s="119"/>
      <x:c r="M20" s="119"/>
      <x:c r="N20" s="119"/>
      <x:c r="O20" s="119"/>
      <x:c r="P20" s="119"/>
    </x:row>
    <x:row r="21">
      <x:c r="A21" s="20" t="str">
        <x:v>Govern</x:v>
      </x:c>
      <x:c r="B21" s="133" t="n">
        <x:f>'Function Summary'!E5</x:f>
        <x:v>0.5555555555555556</x:v>
      </x:c>
      <x:c r="C21" s="134" t="n">
        <x:f>'Function Summary'!F5</x:f>
        <x:v>1.6666666666666667</x:v>
      </x:c>
      <x:c r="D21" s="20" t="n">
        <x:f>'Function Summary'!B5</x:f>
        <x:v>6</x:v>
      </x:c>
      <x:c r="E21" s="20" t="str">
        <x:v>Supplier governance / formal policy / oversight</x:v>
      </x:c>
      <x:c r="F21" s="20" t="str">
        <x:v>High</x:v>
      </x:c>
      <x:c r="G21" s="119"/>
      <x:c r="H21" s="119"/>
      <x:c r="I21" s="119"/>
      <x:c r="J21" s="119"/>
      <x:c r="K21" s="119"/>
      <x:c r="L21" s="119"/>
      <x:c r="M21" s="119"/>
      <x:c r="N21" s="119"/>
      <x:c r="O21" s="119"/>
      <x:c r="P21" s="119"/>
    </x:row>
    <x:row r="22">
      <x:c r="A22" s="20" t="str">
        <x:v>Identify</x:v>
      </x:c>
      <x:c r="B22" s="133" t="n">
        <x:f>'Function Summary'!E6</x:f>
        <x:v>0.6785714285714286</x:v>
      </x:c>
      <x:c r="C22" s="134" t="n">
        <x:f>'Function Summary'!F6</x:f>
        <x:v>1.3333333333333333</x:v>
      </x:c>
      <x:c r="D22" s="20" t="n">
        <x:f>'Function Summary'!B6</x:f>
        <x:v>3</x:v>
      </x:c>
      <x:c r="E22" s="20" t="str">
        <x:v>Repeatable improvement and reassessment</x:v>
      </x:c>
      <x:c r="F22" s="20" t="str">
        <x:v>Medium</x:v>
      </x:c>
      <x:c r="G22" s="119"/>
      <x:c r="H22" s="119"/>
      <x:c r="I22" s="119"/>
      <x:c r="J22" s="119"/>
      <x:c r="K22" s="119"/>
      <x:c r="L22" s="119"/>
      <x:c r="M22" s="119"/>
      <x:c r="N22" s="119"/>
      <x:c r="O22" s="119"/>
      <x:c r="P22" s="119"/>
    </x:row>
    <x:row r="23">
      <x:c r="A23" s="20" t="str">
        <x:v>Protect</x:v>
      </x:c>
      <x:c r="B23" s="133" t="n">
        <x:f>'Function Summary'!E7</x:f>
        <x:v>0.358695652173913</x:v>
      </x:c>
      <x:c r="C23" s="134" t="n">
        <x:f>'Function Summary'!F7</x:f>
        <x:v>2.4</x:v>
      </x:c>
      <x:c r="D23" s="20" t="n">
        <x:f>'Function Summary'!B7</x:f>
        <x:v>5</x:v>
      </x:c>
      <x:c r="E23" s="20" t="str">
        <x:v>Identity, data, platform and resilience</x:v>
      </x:c>
      <x:c r="F23" s="20" t="str">
        <x:v>Critical</x:v>
      </x:c>
      <x:c r="G23" s="119"/>
      <x:c r="H23" s="119"/>
      <x:c r="I23" s="119"/>
      <x:c r="J23" s="119"/>
      <x:c r="K23" s="119"/>
      <x:c r="L23" s="119"/>
      <x:c r="M23" s="119"/>
      <x:c r="N23" s="119"/>
      <x:c r="O23" s="119"/>
      <x:c r="P23" s="119"/>
    </x:row>
    <x:row r="24">
      <x:c r="A24" s="20" t="str">
        <x:v>Detect</x:v>
      </x:c>
      <x:c r="B24" s="133" t="n">
        <x:f>'Function Summary'!E8</x:f>
        <x:v>0.25</x:v>
      </x:c>
      <x:c r="C24" s="134" t="n">
        <x:f>'Function Summary'!F8</x:f>
        <x:v>3</x:v>
      </x:c>
      <x:c r="D24" s="20" t="n">
        <x:f>'Function Summary'!B8</x:f>
        <x:v>2</x:v>
      </x:c>
      <x:c r="E24" s="20" t="str">
        <x:v>Central monitoring and event analysis</x:v>
      </x:c>
      <x:c r="F24" s="20" t="str">
        <x:v>Critical</x:v>
      </x:c>
      <x:c r="G24" s="119"/>
      <x:c r="H24" s="119"/>
      <x:c r="I24" s="119"/>
      <x:c r="J24" s="119"/>
      <x:c r="K24" s="119"/>
      <x:c r="L24" s="119"/>
      <x:c r="M24" s="119"/>
      <x:c r="N24" s="119"/>
      <x:c r="O24" s="119"/>
      <x:c r="P24" s="119"/>
    </x:row>
    <x:row r="25">
      <x:c r="A25" s="20" t="str">
        <x:v>Respond</x:v>
      </x:c>
      <x:c r="B25" s="133" t="n">
        <x:f>'Function Summary'!E9</x:f>
        <x:v>0.4583333333333333</x:v>
      </x:c>
      <x:c r="C25" s="134" t="n">
        <x:f>'Function Summary'!F9</x:f>
        <x:v>2</x:v>
      </x:c>
      <x:c r="D25" s="20" t="n">
        <x:f>'Function Summary'!B9</x:f>
        <x:v>4</x:v>
      </x:c>
      <x:c r="E25" s="20" t="str">
        <x:v>Formal incident management and analysis</x:v>
      </x:c>
      <x:c r="F25" s="20" t="str">
        <x:v>High</x:v>
      </x:c>
      <x:c r="G25" s="119"/>
      <x:c r="H25" s="119"/>
      <x:c r="I25" s="119"/>
      <x:c r="J25" s="119"/>
      <x:c r="K25" s="119"/>
      <x:c r="L25" s="119"/>
      <x:c r="M25" s="119"/>
      <x:c r="N25" s="119"/>
      <x:c r="O25" s="119"/>
      <x:c r="P25" s="119"/>
    </x:row>
    <x:row r="26">
      <x:c r="A26" s="20" t="str">
        <x:v>Recover</x:v>
      </x:c>
      <x:c r="B26" s="133" t="n">
        <x:f>'Function Summary'!E10</x:f>
        <x:v>0.27586206896551724</x:v>
      </x:c>
      <x:c r="C26" s="134" t="n">
        <x:f>'Function Summary'!F10</x:f>
        <x:v>2.5</x:v>
      </x:c>
      <x:c r="D26" s="20" t="n">
        <x:f>'Function Summary'!B10</x:f>
        <x:v>2</x:v>
      </x:c>
      <x:c r="E26" s="20" t="str">
        <x:v>Tested recovery and recovery communications</x:v>
      </x:c>
      <x:c r="F26" s="20" t="str">
        <x:v>High</x:v>
      </x:c>
      <x:c r="G26" s="119"/>
      <x:c r="H26" s="119"/>
      <x:c r="I26" s="119"/>
      <x:c r="J26" s="119"/>
      <x:c r="K26" s="119"/>
      <x:c r="L26" s="119"/>
      <x:c r="M26" s="119"/>
      <x:c r="N26" s="119"/>
      <x:c r="O26" s="119"/>
      <x:c r="P26" s="119"/>
    </x:row>
    <x:row r="27">
      <x:c r="A27" s="119"/>
      <x:c r="B27" s="119"/>
      <x:c r="C27" s="119"/>
      <x:c r="D27" s="119"/>
      <x:c r="E27" s="119"/>
      <x:c r="F27" s="119"/>
      <x:c r="G27" s="119"/>
      <x:c r="H27" s="119"/>
      <x:c r="I27" s="119"/>
      <x:c r="J27" s="119"/>
      <x:c r="K27" s="119"/>
      <x:c r="L27" s="119"/>
      <x:c r="M27" s="119"/>
      <x:c r="N27" s="119"/>
      <x:c r="O27" s="119"/>
      <x:c r="P27" s="119"/>
    </x:row>
    <x:row r="28">
      <x:c r="A28" s="176" t="str">
        <x:v>Top Gap Actions</x:v>
      </x:c>
      <x:c r="B28" s="176"/>
      <x:c r="C28" s="176"/>
      <x:c r="D28" s="176"/>
      <x:c r="E28" s="176"/>
      <x:c r="F28" s="176"/>
      <x:c r="G28" s="176"/>
      <x:c r="H28" s="176"/>
      <x:c r="I28" s="119"/>
      <x:c r="J28" s="119"/>
      <x:c r="K28" s="119"/>
      <x:c r="L28" s="119"/>
      <x:c r="M28" s="119"/>
      <x:c r="N28" s="119"/>
      <x:c r="O28" s="119"/>
      <x:c r="P28" s="119"/>
    </x:row>
    <x:row r="29">
      <x:c r="A29" s="136" t="str">
        <x:v>Order</x:v>
      </x:c>
      <x:c r="B29" s="136" t="str">
        <x:v>Action</x:v>
      </x:c>
      <x:c r="C29" s="136" t="str">
        <x:v>CSF</x:v>
      </x:c>
      <x:c r="D29" s="136" t="str">
        <x:v>Priority</x:v>
      </x:c>
      <x:c r="E29" s="136" t="str">
        <x:v>Owner</x:v>
      </x:c>
      <x:c r="F29" s="136" t="str">
        <x:v>Due</x:v>
      </x:c>
      <x:c r="G29" s="136" t="str">
        <x:v>Status</x:v>
      </x:c>
      <x:c r="H29" s="136" t="str">
        <x:v>Risk Link</x:v>
      </x:c>
      <x:c r="I29" s="119"/>
      <x:c r="J29" s="119"/>
      <x:c r="K29" s="119"/>
      <x:c r="L29" s="119"/>
      <x:c r="M29" s="119"/>
      <x:c r="N29" s="119"/>
      <x:c r="O29" s="119"/>
      <x:c r="P29" s="119"/>
    </x:row>
    <x:row r="30">
      <x:c r="A30" s="20" t="n">
        <x:v>1</x:v>
      </x:c>
      <x:c r="B30" s="20" t="str">
        <x:f>'Gap Action Plan'!D2</x:f>
        <x:v>Enforce MFA for all cloud/VPN accounts, disable legacy authentication and remove unjustified exceptions.</x:v>
      </x:c>
      <x:c r="C30" s="20" t="str">
        <x:f>'Gap Action Plan'!B2</x:f>
        <x:v>PR.AA</x:v>
      </x:c>
      <x:c r="D30" s="20" t="str">
        <x:f>'Gap Action Plan'!C2</x:f>
        <x:v>Critical</x:v>
      </x:c>
      <x:c r="E30" s="20" t="str">
        <x:f>'Gap Action Plan'!F2</x:f>
        <x:v>Systems Administrator</x:v>
      </x:c>
      <x:c r="F30" s="24" t="n">
        <x:f>'Gap Action Plan'!G2</x:f>
        <x:v>46280</x:v>
      </x:c>
      <x:c r="G30" s="20" t="str">
        <x:f>'Gap Action Plan'!H2</x:f>
        <x:v>In Progress</x:v>
      </x:c>
      <x:c r="H30" s="20" t="str">
        <x:f>'Gap Action Plan'!E2</x:f>
        <x:v>R-02; R-03; R-13</x:v>
      </x:c>
      <x:c r="I30" s="119"/>
      <x:c r="J30" s="119"/>
      <x:c r="K30" s="119"/>
      <x:c r="L30" s="119"/>
      <x:c r="M30" s="119"/>
      <x:c r="N30" s="119"/>
      <x:c r="O30" s="119"/>
      <x:c r="P30" s="119"/>
    </x:row>
    <x:row r="31">
      <x:c r="A31" s="20" t="n">
        <x:v>2</x:v>
      </x:c>
      <x:c r="B31" s="20" t="str">
        <x:f>'Gap Action Plan'!D3</x:f>
        <x:v>Approve cyber risk appetite, tolerance thresholds and quarterly enterprise risk review cadence.</x:v>
      </x:c>
      <x:c r="C31" s="20" t="str">
        <x:f>'Gap Action Plan'!B3</x:f>
        <x:v>GV.RM</x:v>
      </x:c>
      <x:c r="D31" s="20" t="str">
        <x:f>'Gap Action Plan'!C3</x:f>
        <x:v>Critical</x:v>
      </x:c>
      <x:c r="E31" s="20" t="str">
        <x:f>'Gap Action Plan'!F3</x:f>
        <x:v>Executive Team / IT Manager</x:v>
      </x:c>
      <x:c r="F31" s="24" t="n">
        <x:f>'Gap Action Plan'!G3</x:f>
        <x:v>46326</x:v>
      </x:c>
      <x:c r="G31" s="20" t="str">
        <x:f>'Gap Action Plan'!H3</x:f>
        <x:v>In Progress</x:v>
      </x:c>
      <x:c r="H31" s="20" t="str">
        <x:f>'Gap Action Plan'!E3</x:f>
        <x:v>R-01 through R-22</x:v>
      </x:c>
      <x:c r="I31" s="119"/>
      <x:c r="J31" s="119"/>
      <x:c r="K31" s="119"/>
      <x:c r="L31" s="119"/>
      <x:c r="M31" s="119"/>
      <x:c r="N31" s="119"/>
      <x:c r="O31" s="119"/>
      <x:c r="P31" s="119"/>
    </x:row>
    <x:row r="32">
      <x:c r="A32" s="20" t="n">
        <x:v>3</x:v>
      </x:c>
      <x:c r="B32" s="20" t="str">
        <x:f>'Gap Action Plan'!D4</x:f>
        <x:v>Implement privileged access governance, separate admin accounts, quarterly recertification and hardened admin access.</x:v>
      </x:c>
      <x:c r="C32" s="20" t="str">
        <x:f>'Gap Action Plan'!B4</x:f>
        <x:v>PR.AA / GV.RR</x:v>
      </x:c>
      <x:c r="D32" s="20" t="str">
        <x:f>'Gap Action Plan'!C4</x:f>
        <x:v>Critical</x:v>
      </x:c>
      <x:c r="E32" s="20" t="str">
        <x:f>'Gap Action Plan'!F4</x:f>
        <x:v>IT Manager</x:v>
      </x:c>
      <x:c r="F32" s="24" t="n">
        <x:f>'Gap Action Plan'!G4</x:f>
        <x:v>46326</x:v>
      </x:c>
      <x:c r="G32" s="20" t="str">
        <x:f>'Gap Action Plan'!H4</x:f>
        <x:v>Not Started</x:v>
      </x:c>
      <x:c r="H32" s="20" t="str">
        <x:f>'Gap Action Plan'!E4</x:f>
        <x:v>R-04; R-20</x:v>
      </x:c>
      <x:c r="I32" s="119"/>
      <x:c r="J32" s="119"/>
      <x:c r="K32" s="119"/>
      <x:c r="L32" s="119"/>
      <x:c r="M32" s="119"/>
      <x:c r="N32" s="119"/>
      <x:c r="O32" s="119"/>
      <x:c r="P32" s="119"/>
    </x:row>
    <x:row r="33">
      <x:c r="A33" s="20" t="n">
        <x:v>4</x:v>
      </x:c>
      <x:c r="B33" s="20" t="str">
        <x:f>'Gap Action Plan'!D5</x:f>
        <x:v>Enable immutable/isolated backups and execute documented quarterly restoration tests.</x:v>
      </x:c>
      <x:c r="C33" s="20" t="str">
        <x:f>'Gap Action Plan'!B5</x:f>
        <x:v>PR.IR / RC.RP</x:v>
      </x:c>
      <x:c r="D33" s="20" t="str">
        <x:f>'Gap Action Plan'!C5</x:f>
        <x:v>Critical</x:v>
      </x:c>
      <x:c r="E33" s="20" t="str">
        <x:f>'Gap Action Plan'!F5</x:f>
        <x:v>Systems Administrator</x:v>
      </x:c>
      <x:c r="F33" s="24" t="n">
        <x:f>'Gap Action Plan'!G5</x:f>
        <x:v>46326</x:v>
      </x:c>
      <x:c r="G33" s="20" t="str">
        <x:f>'Gap Action Plan'!H5</x:f>
        <x:v>In Progress</x:v>
      </x:c>
      <x:c r="H33" s="20" t="str">
        <x:f>'Gap Action Plan'!E5</x:f>
        <x:v>R-05; R-06; R-21</x:v>
      </x:c>
      <x:c r="I33" s="119"/>
      <x:c r="J33" s="119"/>
      <x:c r="K33" s="119"/>
      <x:c r="L33" s="119"/>
      <x:c r="M33" s="119"/>
      <x:c r="N33" s="119"/>
      <x:c r="O33" s="119"/>
      <x:c r="P33" s="119"/>
    </x:row>
    <x:row r="34">
      <x:c r="A34" s="20" t="n">
        <x:v>5</x:v>
      </x:c>
      <x:c r="B34" s="20" t="str">
        <x:f>'Gap Action Plan'!D6</x:f>
        <x:v>Bring firewalls/VPN and critical endpoints to approved patch/configuration baselines; recertify firewall rules.</x:v>
      </x:c>
      <x:c r="C34" s="20" t="str">
        <x:f>'Gap Action Plan'!B6</x:f>
        <x:v>PR.PS</x:v>
      </x:c>
      <x:c r="D34" s="20" t="str">
        <x:f>'Gap Action Plan'!C6</x:f>
        <x:v>Critical</x:v>
      </x:c>
      <x:c r="E34" s="20" t="str">
        <x:f>'Gap Action Plan'!F6</x:f>
        <x:v>Network Admin / IT Support</x:v>
      </x:c>
      <x:c r="F34" s="24" t="n">
        <x:f>'Gap Action Plan'!G6</x:f>
        <x:v>46356</x:v>
      </x:c>
      <x:c r="G34" s="20" t="str">
        <x:f>'Gap Action Plan'!H6</x:f>
        <x:v>In Progress</x:v>
      </x:c>
      <x:c r="H34" s="20" t="str">
        <x:f>'Gap Action Plan'!E6</x:f>
        <x:v>R-05; R-08; R-13; R-16</x:v>
      </x:c>
      <x:c r="I34" s="119"/>
      <x:c r="J34" s="119"/>
      <x:c r="K34" s="119"/>
      <x:c r="L34" s="119"/>
      <x:c r="M34" s="119"/>
      <x:c r="N34" s="119"/>
      <x:c r="O34" s="119"/>
      <x:c r="P34" s="119"/>
    </x:row>
    <x:row r="35">
      <x:c r="A35" s="20" t="n">
        <x:v>6</x:v>
      </x:c>
      <x:c r="B35" s="20" t="str">
        <x:f>'Gap Action Plan'!D7</x:f>
        <x:v>Establish tiered supplier security program for SaaS, RMM, MSP and telecom providers.</x:v>
      </x:c>
      <x:c r="C35" s="20" t="str">
        <x:f>'Gap Action Plan'!B7</x:f>
        <x:v>GV.SC</x:v>
      </x:c>
      <x:c r="D35" s="20" t="str">
        <x:f>'Gap Action Plan'!C7</x:f>
        <x:v>High</x:v>
      </x:c>
      <x:c r="E35" s="20" t="str">
        <x:f>'Gap Action Plan'!F7</x:f>
        <x:v>Procurement / IT Manager</x:v>
      </x:c>
      <x:c r="F35" s="24" t="n">
        <x:f>'Gap Action Plan'!G7</x:f>
        <x:v>46371</x:v>
      </x:c>
      <x:c r="G35" s="20" t="str">
        <x:f>'Gap Action Plan'!H7</x:f>
        <x:v>Not Started</x:v>
      </x:c>
      <x:c r="H35" s="20" t="str">
        <x:f>'Gap Action Plan'!E7</x:f>
        <x:v>R-14; R-15; R-22</x:v>
      </x:c>
      <x:c r="I35" s="119"/>
      <x:c r="J35" s="119"/>
      <x:c r="K35" s="119"/>
      <x:c r="L35" s="119"/>
      <x:c r="M35" s="119"/>
      <x:c r="N35" s="119"/>
      <x:c r="O35" s="119"/>
      <x:c r="P35" s="119"/>
    </x:row>
    <x:row r="36">
      <x:c r="A36" s="20" t="n">
        <x:v>7</x:v>
      </x:c>
      <x:c r="B36" s="20" t="str">
        <x:f>'Gap Action Plan'!D8</x:f>
        <x:v>Centralize priority security telemetry and define detections, triage, severity and escalation ownership.</x:v>
      </x:c>
      <x:c r="C36" s="20" t="str">
        <x:f>'Gap Action Plan'!B8</x:f>
        <x:v>DE.CM / DE.AE</x:v>
      </x:c>
      <x:c r="D36" s="20" t="str">
        <x:f>'Gap Action Plan'!C8</x:f>
        <x:v>High</x:v>
      </x:c>
      <x:c r="E36" s="20" t="str">
        <x:f>'Gap Action Plan'!F8</x:f>
        <x:v>IT Security Analyst</x:v>
      </x:c>
      <x:c r="F36" s="24" t="n">
        <x:f>'Gap Action Plan'!G8</x:f>
        <x:v>46371</x:v>
      </x:c>
      <x:c r="G36" s="20" t="str">
        <x:f>'Gap Action Plan'!H8</x:f>
        <x:v>Not Started</x:v>
      </x:c>
      <x:c r="H36" s="20" t="str">
        <x:f>'Gap Action Plan'!E8</x:f>
        <x:v>R-02; R-04; R-05; R-14; R-18</x:v>
      </x:c>
      <x:c r="I36" s="119"/>
      <x:c r="J36" s="119"/>
      <x:c r="K36" s="119"/>
      <x:c r="L36" s="119"/>
      <x:c r="M36" s="119"/>
      <x:c r="N36" s="119"/>
      <x:c r="O36" s="119"/>
      <x:c r="P36" s="119"/>
    </x:row>
    <x:row r="37">
      <x:c r="A37" s="20" t="n">
        <x:v>8</x:v>
      </x:c>
      <x:c r="B37" s="20" t="str">
        <x:f>'Gap Action Plan'!D9</x:f>
        <x:v>Implement cloud information-protection controls: DLP, sensitivity labels, export restrictions and external-sharing governance.</x:v>
      </x:c>
      <x:c r="C37" s="20" t="str">
        <x:f>'Gap Action Plan'!B9</x:f>
        <x:v>PR.DS</x:v>
      </x:c>
      <x:c r="D37" s="20" t="str">
        <x:f>'Gap Action Plan'!C9</x:f>
        <x:v>High</x:v>
      </x:c>
      <x:c r="E37" s="20" t="str">
        <x:f>'Gap Action Plan'!F9</x:f>
        <x:v>IT Security / Data Owners</x:v>
      </x:c>
      <x:c r="F37" s="24" t="n">
        <x:f>'Gap Action Plan'!G9</x:f>
        <x:v>46371</x:v>
      </x:c>
      <x:c r="G37" s="20" t="str">
        <x:f>'Gap Action Plan'!H9</x:f>
        <x:v>Not Started</x:v>
      </x:c>
      <x:c r="H37" s="20" t="str">
        <x:f>'Gap Action Plan'!E9</x:f>
        <x:v>R-09; R-10; R-11; R-19</x:v>
      </x:c>
      <x:c r="I37" s="119"/>
      <x:c r="J37" s="119"/>
      <x:c r="K37" s="119"/>
      <x:c r="L37" s="119"/>
      <x:c r="M37" s="119"/>
      <x:c r="N37" s="119"/>
      <x:c r="O37" s="119"/>
      <x:c r="P37" s="119"/>
    </x:row>
    <x:row r="38">
      <x:c r="A38" s="119"/>
      <x:c r="B38" s="119"/>
      <x:c r="C38" s="119"/>
      <x:c r="D38" s="119"/>
      <x:c r="E38" s="119"/>
      <x:c r="F38" s="119"/>
      <x:c r="G38" s="119"/>
      <x:c r="H38" s="119"/>
      <x:c r="I38" s="119"/>
      <x:c r="J38" s="119"/>
      <x:c r="K38" s="119"/>
      <x:c r="L38" s="119"/>
      <x:c r="M38" s="119"/>
      <x:c r="N38" s="119"/>
      <x:c r="O38" s="119"/>
      <x:c r="P38" s="119"/>
    </x:row>
    <x:row r="39">
      <x:c r="A39" s="119"/>
      <x:c r="B39" s="119"/>
      <x:c r="C39" s="119"/>
      <x:c r="D39" s="119"/>
      <x:c r="E39" s="119"/>
      <x:c r="F39" s="119"/>
      <x:c r="G39" s="119"/>
      <x:c r="H39" s="119"/>
      <x:c r="I39" s="119"/>
      <x:c r="J39" s="119"/>
      <x:c r="K39" s="119"/>
      <x:c r="L39" s="119"/>
      <x:c r="M39" s="119"/>
      <x:c r="N39" s="119"/>
      <x:c r="O39" s="119"/>
      <x:c r="P39" s="119"/>
    </x:row>
    <x:row r="40">
      <x:c r="A40" s="119"/>
      <x:c r="B40" s="119"/>
      <x:c r="C40" s="119"/>
      <x:c r="D40" s="119"/>
      <x:c r="E40" s="119"/>
      <x:c r="F40" s="119"/>
      <x:c r="G40" s="119"/>
      <x:c r="H40" s="119"/>
      <x:c r="I40" s="119"/>
      <x:c r="J40" s="119"/>
      <x:c r="K40" s="119"/>
      <x:c r="L40" s="119"/>
      <x:c r="M40" s="119"/>
      <x:c r="N40" s="119"/>
      <x:c r="O40" s="119"/>
      <x:c r="P40" s="119"/>
    </x:row>
    <x:row r="41">
      <x:c r="A41" s="119"/>
      <x:c r="B41" s="119"/>
      <x:c r="C41" s="119"/>
      <x:c r="D41" s="119"/>
      <x:c r="E41" s="119"/>
      <x:c r="F41" s="119"/>
      <x:c r="G41" s="119"/>
      <x:c r="H41" s="119"/>
      <x:c r="I41" s="119"/>
      <x:c r="J41" s="119"/>
      <x:c r="K41" s="119"/>
      <x:c r="L41" s="119"/>
      <x:c r="M41" s="119"/>
      <x:c r="N41" s="119"/>
      <x:c r="O41" s="119"/>
      <x:c r="P41" s="119"/>
    </x:row>
    <x:row r="42">
      <x:c r="A42" s="119"/>
      <x:c r="B42" s="119"/>
      <x:c r="C42" s="119"/>
      <x:c r="D42" s="119"/>
      <x:c r="E42" s="119"/>
      <x:c r="F42" s="119"/>
      <x:c r="G42" s="119"/>
      <x:c r="H42" s="119"/>
      <x:c r="I42" s="119"/>
      <x:c r="J42" s="119"/>
      <x:c r="K42" s="119"/>
      <x:c r="L42" s="119"/>
      <x:c r="M42" s="119"/>
      <x:c r="N42" s="119"/>
      <x:c r="O42" s="119"/>
      <x:c r="P42" s="119"/>
    </x:row>
    <x:row r="43">
      <x:c r="A43" s="119"/>
      <x:c r="B43" s="119"/>
      <x:c r="C43" s="119"/>
      <x:c r="D43" s="119"/>
      <x:c r="E43" s="119"/>
      <x:c r="F43" s="119"/>
      <x:c r="G43" s="119"/>
      <x:c r="H43" s="119"/>
      <x:c r="I43" s="119"/>
      <x:c r="J43" s="119"/>
      <x:c r="K43" s="119"/>
      <x:c r="L43" s="119"/>
      <x:c r="M43" s="119"/>
      <x:c r="N43" s="119"/>
      <x:c r="O43" s="119"/>
      <x:c r="P43" s="119"/>
    </x:row>
    <x:row r="44">
      <x:c r="A44" s="119"/>
      <x:c r="B44" s="119"/>
      <x:c r="C44" s="119"/>
      <x:c r="D44" s="119"/>
      <x:c r="E44" s="119"/>
      <x:c r="F44" s="119"/>
      <x:c r="G44" s="119"/>
      <x:c r="H44" s="119"/>
      <x:c r="I44" s="119"/>
      <x:c r="J44" s="119"/>
      <x:c r="K44" s="119"/>
      <x:c r="L44" s="119"/>
      <x:c r="M44" s="119"/>
      <x:c r="N44" s="119"/>
      <x:c r="O44" s="119"/>
      <x:c r="P44" s="119"/>
    </x:row>
    <x:row r="45">
      <x:c r="A45" s="119"/>
      <x:c r="B45" s="119"/>
      <x:c r="C45" s="119"/>
      <x:c r="D45" s="119"/>
      <x:c r="E45" s="119"/>
      <x:c r="F45" s="119"/>
      <x:c r="G45" s="119"/>
      <x:c r="H45" s="119"/>
      <x:c r="I45" s="119"/>
      <x:c r="J45" s="119"/>
      <x:c r="K45" s="119"/>
      <x:c r="L45" s="119"/>
      <x:c r="M45" s="119"/>
      <x:c r="N45" s="119"/>
      <x:c r="O45" s="119"/>
      <x:c r="P45" s="119"/>
    </x:row>
    <x:row r="46">
      <x:c r="A46" s="119"/>
      <x:c r="B46" s="119"/>
      <x:c r="C46" s="119"/>
      <x:c r="D46" s="119"/>
      <x:c r="E46" s="119"/>
      <x:c r="F46" s="119"/>
      <x:c r="G46" s="119"/>
      <x:c r="H46" s="119"/>
      <x:c r="I46" s="119"/>
      <x:c r="J46" s="119"/>
      <x:c r="K46" s="119"/>
      <x:c r="L46" s="119"/>
      <x:c r="M46" s="119"/>
      <x:c r="N46" s="119"/>
      <x:c r="O46" s="119"/>
      <x:c r="P46" s="119"/>
    </x:row>
    <x:row r="47">
      <x:c r="A47" s="119"/>
      <x:c r="B47" s="119"/>
      <x:c r="C47" s="119"/>
      <x:c r="D47" s="119"/>
      <x:c r="E47" s="119"/>
      <x:c r="F47" s="119"/>
      <x:c r="G47" s="119"/>
      <x:c r="H47" s="119"/>
      <x:c r="I47" s="119"/>
      <x:c r="J47" s="119"/>
      <x:c r="K47" s="119"/>
      <x:c r="L47" s="119"/>
      <x:c r="M47" s="119"/>
      <x:c r="N47" s="119"/>
      <x:c r="O47" s="119"/>
      <x:c r="P47" s="119"/>
    </x:row>
    <x:row r="48">
      <x:c r="A48" s="119"/>
      <x:c r="B48" s="119"/>
      <x:c r="C48" s="119"/>
      <x:c r="D48" s="119"/>
      <x:c r="E48" s="119"/>
      <x:c r="F48" s="119"/>
      <x:c r="G48" s="119"/>
      <x:c r="H48" s="119"/>
      <x:c r="I48" s="119"/>
      <x:c r="J48" s="119"/>
      <x:c r="K48" s="119"/>
      <x:c r="L48" s="119"/>
      <x:c r="M48" s="119"/>
      <x:c r="N48" s="119"/>
      <x:c r="O48" s="119"/>
      <x:c r="P48" s="119"/>
    </x:row>
    <x:row r="49">
      <x:c r="A49" s="119"/>
      <x:c r="B49" s="119"/>
      <x:c r="C49" s="119"/>
      <x:c r="D49" s="119"/>
      <x:c r="E49" s="119"/>
      <x:c r="F49" s="119"/>
      <x:c r="G49" s="119"/>
      <x:c r="H49" s="119"/>
      <x:c r="I49" s="119"/>
      <x:c r="J49" s="119"/>
      <x:c r="K49" s="119"/>
      <x:c r="L49" s="119"/>
      <x:c r="M49" s="119"/>
      <x:c r="N49" s="119"/>
      <x:c r="O49" s="119"/>
      <x:c r="P49" s="119"/>
    </x:row>
    <x:row r="50">
      <x:c r="A50" s="119"/>
      <x:c r="B50" s="119"/>
      <x:c r="C50" s="119"/>
      <x:c r="D50" s="119"/>
      <x:c r="E50" s="119"/>
      <x:c r="F50" s="119"/>
      <x:c r="G50" s="119"/>
      <x:c r="H50" s="119"/>
      <x:c r="I50" s="119"/>
      <x:c r="J50" s="119"/>
      <x:c r="K50" s="119"/>
      <x:c r="L50" s="119"/>
      <x:c r="M50" s="119"/>
      <x:c r="N50" s="119"/>
      <x:c r="O50" s="119"/>
      <x:c r="P50" s="119"/>
    </x:row>
    <x:row r="51">
      <x:c r="A51" s="119"/>
      <x:c r="B51" s="119"/>
      <x:c r="C51" s="119"/>
      <x:c r="D51" s="119"/>
      <x:c r="E51" s="119"/>
      <x:c r="F51" s="119"/>
      <x:c r="G51" s="119"/>
      <x:c r="H51" s="119"/>
      <x:c r="I51" s="119"/>
      <x:c r="J51" s="119"/>
      <x:c r="K51" s="119"/>
      <x:c r="L51" s="119"/>
      <x:c r="M51" s="119"/>
      <x:c r="N51" s="119"/>
      <x:c r="O51" s="119"/>
      <x:c r="P51" s="119"/>
    </x:row>
    <x:row r="52">
      <x:c r="A52" s="119"/>
      <x:c r="B52" s="119"/>
      <x:c r="C52" s="119"/>
      <x:c r="D52" s="119"/>
      <x:c r="E52" s="119"/>
      <x:c r="F52" s="119"/>
      <x:c r="G52" s="119"/>
      <x:c r="H52" s="119"/>
      <x:c r="I52" s="119"/>
      <x:c r="J52" s="119"/>
      <x:c r="K52" s="119"/>
      <x:c r="L52" s="119"/>
      <x:c r="M52" s="119"/>
      <x:c r="N52" s="119"/>
      <x:c r="O52" s="119"/>
      <x:c r="P52" s="119"/>
    </x:row>
    <x:row r="53">
      <x:c r="A53" s="119"/>
      <x:c r="B53" s="119"/>
      <x:c r="C53" s="119"/>
      <x:c r="D53" s="119"/>
      <x:c r="E53" s="119"/>
      <x:c r="F53" s="119"/>
      <x:c r="G53" s="119"/>
      <x:c r="H53" s="119"/>
      <x:c r="I53" s="119"/>
      <x:c r="J53" s="119"/>
      <x:c r="K53" s="119"/>
      <x:c r="L53" s="119"/>
      <x:c r="M53" s="119"/>
      <x:c r="N53" s="119"/>
      <x:c r="O53" s="119"/>
      <x:c r="P53" s="119"/>
    </x:row>
    <x:row r="54">
      <x:c r="A54" s="119"/>
      <x:c r="B54" s="119"/>
      <x:c r="C54" s="119"/>
      <x:c r="D54" s="119"/>
      <x:c r="E54" s="119"/>
      <x:c r="F54" s="119"/>
      <x:c r="G54" s="119"/>
      <x:c r="H54" s="119"/>
      <x:c r="I54" s="119"/>
      <x:c r="J54" s="119"/>
      <x:c r="K54" s="119"/>
      <x:c r="L54" s="119"/>
      <x:c r="M54" s="119"/>
      <x:c r="N54" s="119"/>
      <x:c r="O54" s="119"/>
      <x:c r="P54" s="119"/>
    </x:row>
    <x:row r="55">
      <x:c r="A55" s="119"/>
      <x:c r="B55" s="119"/>
      <x:c r="C55" s="119"/>
      <x:c r="D55" s="119"/>
      <x:c r="E55" s="119"/>
      <x:c r="F55" s="119"/>
      <x:c r="G55" s="119"/>
      <x:c r="H55" s="119"/>
      <x:c r="I55" s="119"/>
      <x:c r="J55" s="119"/>
      <x:c r="K55" s="119"/>
      <x:c r="L55" s="119"/>
      <x:c r="M55" s="119"/>
      <x:c r="N55" s="119"/>
      <x:c r="O55" s="119"/>
      <x:c r="P55" s="119"/>
    </x:row>
    <x:row r="56">
      <x:c r="A56" s="119"/>
      <x:c r="B56" s="119"/>
      <x:c r="C56" s="119"/>
      <x:c r="D56" s="119"/>
      <x:c r="E56" s="119"/>
      <x:c r="F56" s="119"/>
      <x:c r="G56" s="119"/>
      <x:c r="H56" s="119"/>
      <x:c r="I56" s="119"/>
      <x:c r="J56" s="119"/>
      <x:c r="K56" s="119"/>
      <x:c r="L56" s="119"/>
      <x:c r="M56" s="119"/>
      <x:c r="N56" s="119"/>
      <x:c r="O56" s="119"/>
      <x:c r="P56" s="119"/>
    </x:row>
    <x:row r="57">
      <x:c r="A57" s="119"/>
      <x:c r="B57" s="119"/>
      <x:c r="C57" s="119"/>
      <x:c r="D57" s="119"/>
      <x:c r="E57" s="119"/>
      <x:c r="F57" s="119"/>
      <x:c r="G57" s="119"/>
      <x:c r="H57" s="119"/>
      <x:c r="I57" s="119"/>
      <x:c r="J57" s="119"/>
      <x:c r="K57" s="119"/>
      <x:c r="L57" s="119"/>
      <x:c r="M57" s="119"/>
      <x:c r="N57" s="119"/>
      <x:c r="O57" s="119"/>
      <x:c r="P57" s="119"/>
    </x:row>
    <x:row r="58">
      <x:c r="A58" s="119"/>
      <x:c r="B58" s="119"/>
      <x:c r="C58" s="119"/>
      <x:c r="D58" s="119"/>
      <x:c r="E58" s="119"/>
      <x:c r="F58" s="119"/>
      <x:c r="G58" s="119"/>
      <x:c r="H58" s="119"/>
      <x:c r="I58" s="119"/>
      <x:c r="J58" s="119"/>
      <x:c r="K58" s="119"/>
      <x:c r="L58" s="119"/>
      <x:c r="M58" s="119"/>
      <x:c r="N58" s="119"/>
      <x:c r="O58" s="119"/>
      <x:c r="P58" s="119"/>
    </x:row>
    <x:row r="59">
      <x:c r="A59" s="119"/>
      <x:c r="B59" s="119"/>
      <x:c r="C59" s="119"/>
      <x:c r="D59" s="119"/>
      <x:c r="E59" s="119"/>
      <x:c r="F59" s="119"/>
      <x:c r="G59" s="119"/>
      <x:c r="H59" s="119"/>
      <x:c r="I59" s="119"/>
      <x:c r="J59" s="119"/>
      <x:c r="K59" s="119"/>
      <x:c r="L59" s="119"/>
      <x:c r="M59" s="119"/>
      <x:c r="N59" s="119"/>
      <x:c r="O59" s="119"/>
      <x:c r="P59" s="119"/>
    </x:row>
    <x:row r="60">
      <x:c r="A60" s="119"/>
      <x:c r="B60" s="119"/>
      <x:c r="C60" s="119"/>
      <x:c r="D60" s="119"/>
      <x:c r="E60" s="119"/>
      <x:c r="F60" s="119"/>
      <x:c r="G60" s="119"/>
      <x:c r="H60" s="119"/>
      <x:c r="I60" s="119"/>
      <x:c r="J60" s="119"/>
      <x:c r="K60" s="119"/>
      <x:c r="L60" s="119"/>
      <x:c r="M60" s="119"/>
      <x:c r="N60" s="119"/>
      <x:c r="O60" s="119"/>
      <x:c r="P60" s="119"/>
    </x:row>
    <x:row r="61">
      <x:c r="A61" s="119"/>
      <x:c r="B61" s="119"/>
      <x:c r="C61" s="119"/>
      <x:c r="D61" s="119"/>
      <x:c r="E61" s="119"/>
      <x:c r="F61" s="119"/>
      <x:c r="G61" s="119"/>
      <x:c r="H61" s="119"/>
      <x:c r="I61" s="119"/>
      <x:c r="J61" s="119"/>
      <x:c r="K61" s="119"/>
      <x:c r="L61" s="119"/>
      <x:c r="M61" s="119"/>
      <x:c r="N61" s="119"/>
      <x:c r="O61" s="119"/>
      <x:c r="P61" s="119"/>
    </x:row>
    <x:row r="62">
      <x:c r="A62" s="119"/>
      <x:c r="B62" s="119"/>
      <x:c r="C62" s="119"/>
      <x:c r="D62" s="119"/>
      <x:c r="E62" s="119"/>
      <x:c r="F62" s="119"/>
      <x:c r="G62" s="119"/>
      <x:c r="H62" s="119"/>
      <x:c r="I62" s="119"/>
      <x:c r="J62" s="119"/>
      <x:c r="K62" s="119"/>
      <x:c r="L62" s="119"/>
      <x:c r="M62" s="119"/>
      <x:c r="N62" s="119"/>
      <x:c r="O62" s="119"/>
      <x:c r="P62" s="119"/>
    </x:row>
    <x:row r="63">
      <x:c r="A63" s="119"/>
      <x:c r="B63" s="119"/>
      <x:c r="C63" s="119"/>
      <x:c r="D63" s="119"/>
      <x:c r="E63" s="119"/>
      <x:c r="F63" s="119"/>
      <x:c r="G63" s="119"/>
      <x:c r="H63" s="119"/>
      <x:c r="I63" s="119"/>
      <x:c r="J63" s="119"/>
      <x:c r="K63" s="119"/>
      <x:c r="L63" s="119"/>
      <x:c r="M63" s="119"/>
      <x:c r="N63" s="119"/>
      <x:c r="O63" s="119"/>
      <x:c r="P63" s="119"/>
    </x:row>
    <x:row r="64">
      <x:c r="A64" s="119"/>
      <x:c r="B64" s="119"/>
      <x:c r="C64" s="119"/>
      <x:c r="D64" s="119"/>
      <x:c r="E64" s="119"/>
      <x:c r="F64" s="119"/>
      <x:c r="G64" s="119"/>
      <x:c r="H64" s="119"/>
      <x:c r="I64" s="119"/>
      <x:c r="J64" s="119"/>
      <x:c r="K64" s="119"/>
      <x:c r="L64" s="119"/>
      <x:c r="M64" s="119"/>
      <x:c r="N64" s="119"/>
      <x:c r="O64" s="119"/>
      <x:c r="P64" s="119"/>
    </x:row>
    <x:row r="65">
      <x:c r="A65" s="119"/>
      <x:c r="B65" s="119"/>
      <x:c r="C65" s="119"/>
      <x:c r="D65" s="119"/>
      <x:c r="E65" s="119"/>
      <x:c r="F65" s="119"/>
      <x:c r="G65" s="119"/>
      <x:c r="H65" s="119"/>
      <x:c r="I65" s="119"/>
      <x:c r="J65" s="119"/>
      <x:c r="K65" s="119"/>
      <x:c r="L65" s="119"/>
      <x:c r="M65" s="119"/>
      <x:c r="N65" s="119"/>
      <x:c r="O65" s="119"/>
      <x:c r="P65" s="119"/>
    </x:row>
    <x:row r="66">
      <x:c r="A66" s="119"/>
      <x:c r="B66" s="119"/>
      <x:c r="C66" s="119"/>
      <x:c r="D66" s="119"/>
      <x:c r="E66" s="119"/>
      <x:c r="F66" s="119"/>
      <x:c r="G66" s="119"/>
      <x:c r="H66" s="119"/>
      <x:c r="I66" s="119"/>
      <x:c r="J66" s="119"/>
      <x:c r="K66" s="119"/>
      <x:c r="L66" s="119"/>
      <x:c r="M66" s="119"/>
      <x:c r="N66" s="119"/>
      <x:c r="O66" s="119"/>
      <x:c r="P66" s="119"/>
    </x:row>
    <x:row r="67">
      <x:c r="A67" s="119"/>
      <x:c r="B67" s="119"/>
      <x:c r="C67" s="119"/>
      <x:c r="D67" s="119"/>
      <x:c r="E67" s="119"/>
      <x:c r="F67" s="119"/>
      <x:c r="G67" s="119"/>
      <x:c r="H67" s="119"/>
      <x:c r="I67" s="119"/>
      <x:c r="J67" s="119"/>
      <x:c r="K67" s="119"/>
      <x:c r="L67" s="119"/>
      <x:c r="M67" s="119"/>
      <x:c r="N67" s="119"/>
      <x:c r="O67" s="119"/>
      <x:c r="P67" s="119"/>
    </x:row>
    <x:row r="68">
      <x:c r="A68" s="119"/>
      <x:c r="B68" s="119"/>
      <x:c r="C68" s="119"/>
      <x:c r="D68" s="119"/>
      <x:c r="E68" s="119"/>
      <x:c r="F68" s="119"/>
      <x:c r="G68" s="119"/>
      <x:c r="H68" s="119"/>
      <x:c r="I68" s="119"/>
      <x:c r="J68" s="119"/>
      <x:c r="K68" s="119"/>
      <x:c r="L68" s="119"/>
      <x:c r="M68" s="119"/>
      <x:c r="N68" s="119"/>
      <x:c r="O68" s="119"/>
      <x:c r="P68" s="119"/>
    </x:row>
    <x:row r="69">
      <x:c r="A69" s="119"/>
      <x:c r="B69" s="119"/>
      <x:c r="C69" s="119"/>
      <x:c r="D69" s="119"/>
      <x:c r="E69" s="119"/>
      <x:c r="F69" s="119"/>
      <x:c r="G69" s="119"/>
      <x:c r="H69" s="119"/>
      <x:c r="I69" s="119"/>
      <x:c r="J69" s="119"/>
      <x:c r="K69" s="119"/>
      <x:c r="L69" s="119"/>
      <x:c r="M69" s="119"/>
      <x:c r="N69" s="119"/>
      <x:c r="O69" s="119"/>
      <x:c r="P69" s="119"/>
    </x:row>
    <x:row r="70">
      <x:c r="A70" s="119"/>
      <x:c r="B70" s="119"/>
      <x:c r="C70" s="119"/>
      <x:c r="D70" s="119"/>
      <x:c r="E70" s="119"/>
      <x:c r="F70" s="119"/>
      <x:c r="G70" s="119"/>
      <x:c r="H70" s="119"/>
      <x:c r="I70" s="119"/>
      <x:c r="J70" s="119"/>
      <x:c r="K70" s="119"/>
      <x:c r="L70" s="119"/>
      <x:c r="M70" s="119"/>
      <x:c r="N70" s="119"/>
      <x:c r="O70" s="119"/>
      <x:c r="P70" s="119"/>
    </x:row>
    <x:row r="71">
      <x:c r="A71" s="119"/>
      <x:c r="B71" s="119"/>
      <x:c r="C71" s="119"/>
      <x:c r="D71" s="119"/>
      <x:c r="E71" s="119"/>
      <x:c r="F71" s="119"/>
      <x:c r="G71" s="119"/>
      <x:c r="H71" s="119"/>
      <x:c r="I71" s="119"/>
      <x:c r="J71" s="119"/>
      <x:c r="K71" s="119"/>
      <x:c r="L71" s="119"/>
      <x:c r="M71" s="119"/>
      <x:c r="N71" s="119"/>
      <x:c r="O71" s="119"/>
      <x:c r="P71" s="119"/>
    </x:row>
    <x:row r="72">
      <x:c r="A72" s="119"/>
      <x:c r="B72" s="119"/>
      <x:c r="C72" s="119"/>
      <x:c r="D72" s="119"/>
      <x:c r="E72" s="119"/>
      <x:c r="F72" s="119"/>
      <x:c r="G72" s="119"/>
      <x:c r="H72" s="119"/>
      <x:c r="I72" s="119"/>
      <x:c r="J72" s="119"/>
      <x:c r="K72" s="119"/>
      <x:c r="L72" s="119"/>
      <x:c r="M72" s="119"/>
      <x:c r="N72" s="119"/>
      <x:c r="O72" s="119"/>
      <x:c r="P72" s="119"/>
    </x:row>
    <x:row r="73">
      <x:c r="A73" s="119"/>
      <x:c r="B73" s="119"/>
      <x:c r="C73" s="119"/>
      <x:c r="D73" s="119"/>
      <x:c r="E73" s="119"/>
      <x:c r="F73" s="119"/>
      <x:c r="G73" s="119"/>
      <x:c r="H73" s="119"/>
      <x:c r="I73" s="119"/>
      <x:c r="J73" s="119"/>
      <x:c r="K73" s="119"/>
      <x:c r="L73" s="119"/>
      <x:c r="M73" s="119"/>
      <x:c r="N73" s="119"/>
      <x:c r="O73" s="119"/>
      <x:c r="P73" s="119"/>
    </x:row>
    <x:row r="74">
      <x:c r="A74" s="119"/>
      <x:c r="B74" s="119"/>
      <x:c r="C74" s="119"/>
      <x:c r="D74" s="119"/>
      <x:c r="E74" s="119"/>
      <x:c r="F74" s="119"/>
      <x:c r="G74" s="119"/>
      <x:c r="H74" s="119"/>
      <x:c r="I74" s="119"/>
      <x:c r="J74" s="119"/>
      <x:c r="K74" s="119"/>
      <x:c r="L74" s="119"/>
      <x:c r="M74" s="119"/>
      <x:c r="N74" s="119"/>
      <x:c r="O74" s="119"/>
      <x:c r="P74" s="119"/>
    </x:row>
    <x:row r="75">
      <x:c r="A75" s="119"/>
      <x:c r="B75" s="119"/>
      <x:c r="C75" s="119"/>
      <x:c r="D75" s="119"/>
      <x:c r="E75" s="119"/>
      <x:c r="F75" s="119"/>
      <x:c r="G75" s="119"/>
      <x:c r="H75" s="119"/>
      <x:c r="I75" s="119"/>
      <x:c r="J75" s="119"/>
      <x:c r="K75" s="119"/>
      <x:c r="L75" s="119"/>
      <x:c r="M75" s="119"/>
      <x:c r="N75" s="119"/>
      <x:c r="O75" s="119"/>
      <x:c r="P75" s="119"/>
    </x:row>
    <x:row r="76">
      <x:c r="A76" s="119"/>
      <x:c r="B76" s="119"/>
      <x:c r="C76" s="119"/>
      <x:c r="D76" s="119"/>
      <x:c r="E76" s="119"/>
      <x:c r="F76" s="119"/>
      <x:c r="G76" s="119"/>
      <x:c r="H76" s="119"/>
      <x:c r="I76" s="119"/>
      <x:c r="J76" s="119"/>
      <x:c r="K76" s="119"/>
      <x:c r="L76" s="119"/>
      <x:c r="M76" s="119"/>
      <x:c r="N76" s="119"/>
      <x:c r="O76" s="119"/>
      <x:c r="P76" s="119"/>
    </x:row>
    <x:row r="77">
      <x:c r="A77" s="119"/>
      <x:c r="B77" s="119"/>
      <x:c r="C77" s="119"/>
      <x:c r="D77" s="119"/>
      <x:c r="E77" s="119"/>
      <x:c r="F77" s="119"/>
      <x:c r="G77" s="119"/>
      <x:c r="H77" s="119"/>
      <x:c r="I77" s="119"/>
      <x:c r="J77" s="119"/>
      <x:c r="K77" s="119"/>
      <x:c r="L77" s="119"/>
      <x:c r="M77" s="119"/>
      <x:c r="N77" s="119"/>
      <x:c r="O77" s="119"/>
      <x:c r="P77" s="119"/>
    </x:row>
    <x:row r="78">
      <x:c r="A78" s="119"/>
      <x:c r="B78" s="119"/>
      <x:c r="C78" s="119"/>
      <x:c r="D78" s="119"/>
      <x:c r="E78" s="119"/>
      <x:c r="F78" s="119"/>
      <x:c r="G78" s="119"/>
      <x:c r="H78" s="119"/>
      <x:c r="I78" s="119"/>
      <x:c r="J78" s="119"/>
      <x:c r="K78" s="119"/>
      <x:c r="L78" s="119"/>
      <x:c r="M78" s="119"/>
      <x:c r="N78" s="119"/>
      <x:c r="O78" s="119"/>
      <x:c r="P78" s="119"/>
    </x:row>
    <x:row r="79">
      <x:c r="A79" s="119"/>
      <x:c r="B79" s="119"/>
      <x:c r="C79" s="119"/>
      <x:c r="D79" s="119"/>
      <x:c r="E79" s="119"/>
      <x:c r="F79" s="119"/>
      <x:c r="G79" s="119"/>
      <x:c r="H79" s="119"/>
      <x:c r="I79" s="119"/>
      <x:c r="J79" s="119"/>
      <x:c r="K79" s="119"/>
      <x:c r="L79" s="119"/>
      <x:c r="M79" s="119"/>
      <x:c r="N79" s="119"/>
      <x:c r="O79" s="119"/>
      <x:c r="P79" s="119"/>
    </x:row>
    <x:row r="80">
      <x:c r="A80" s="119"/>
      <x:c r="B80" s="119"/>
      <x:c r="C80" s="119"/>
      <x:c r="D80" s="119"/>
      <x:c r="E80" s="119"/>
      <x:c r="F80" s="119"/>
      <x:c r="G80" s="119"/>
      <x:c r="H80" s="119"/>
      <x:c r="I80" s="119"/>
      <x:c r="J80" s="119"/>
      <x:c r="K80" s="119"/>
      <x:c r="L80" s="119"/>
      <x:c r="M80" s="119"/>
      <x:c r="N80" s="119"/>
      <x:c r="O80" s="119"/>
      <x:c r="P80" s="119"/>
    </x:row>
    <x:row r="81">
      <x:c r="A81" s="119"/>
      <x:c r="B81" s="119"/>
      <x:c r="C81" s="119"/>
      <x:c r="D81" s="119"/>
      <x:c r="E81" s="119"/>
      <x:c r="F81" s="119"/>
      <x:c r="G81" s="119"/>
      <x:c r="H81" s="119"/>
      <x:c r="I81" s="119"/>
      <x:c r="J81" s="119"/>
      <x:c r="K81" s="119"/>
      <x:c r="L81" s="119"/>
      <x:c r="M81" s="119"/>
      <x:c r="N81" s="119"/>
      <x:c r="O81" s="119"/>
      <x:c r="P81" s="119"/>
    </x:row>
    <x:row r="82">
      <x:c r="A82" s="119"/>
      <x:c r="B82" s="119"/>
      <x:c r="C82" s="119"/>
      <x:c r="D82" s="119"/>
      <x:c r="E82" s="119"/>
      <x:c r="F82" s="119"/>
      <x:c r="G82" s="119"/>
      <x:c r="H82" s="119"/>
      <x:c r="I82" s="119"/>
      <x:c r="J82" s="119"/>
      <x:c r="K82" s="119"/>
      <x:c r="L82" s="119"/>
      <x:c r="M82" s="119"/>
      <x:c r="N82" s="119"/>
      <x:c r="O82" s="119"/>
      <x:c r="P82" s="119"/>
    </x:row>
    <x:row r="83">
      <x:c r="A83" s="119"/>
      <x:c r="B83" s="119"/>
      <x:c r="C83" s="119"/>
      <x:c r="D83" s="119"/>
      <x:c r="E83" s="119"/>
      <x:c r="F83" s="119"/>
      <x:c r="G83" s="119"/>
      <x:c r="H83" s="119"/>
      <x:c r="I83" s="119"/>
      <x:c r="J83" s="119"/>
      <x:c r="K83" s="119"/>
      <x:c r="L83" s="119"/>
      <x:c r="M83" s="119"/>
      <x:c r="N83" s="119"/>
      <x:c r="O83" s="119"/>
      <x:c r="P83" s="119"/>
    </x:row>
    <x:row r="84">
      <x:c r="A84" s="119"/>
      <x:c r="B84" s="119"/>
      <x:c r="C84" s="119"/>
      <x:c r="D84" s="119"/>
      <x:c r="E84" s="119"/>
      <x:c r="F84" s="119"/>
      <x:c r="G84" s="119"/>
      <x:c r="H84" s="119"/>
      <x:c r="I84" s="119"/>
      <x:c r="J84" s="119"/>
      <x:c r="K84" s="119"/>
      <x:c r="L84" s="119"/>
      <x:c r="M84" s="119"/>
      <x:c r="N84" s="119"/>
      <x:c r="O84" s="119"/>
      <x:c r="P84" s="119"/>
    </x:row>
    <x:row r="85">
      <x:c r="A85" s="119"/>
      <x:c r="B85" s="119"/>
      <x:c r="C85" s="119"/>
      <x:c r="D85" s="119"/>
      <x:c r="E85" s="119"/>
      <x:c r="F85" s="119"/>
      <x:c r="G85" s="119"/>
      <x:c r="H85" s="119"/>
      <x:c r="I85" s="119"/>
      <x:c r="J85" s="119"/>
      <x:c r="K85" s="119"/>
      <x:c r="L85" s="119"/>
      <x:c r="M85" s="119"/>
      <x:c r="N85" s="119"/>
      <x:c r="O85" s="119"/>
      <x:c r="P85" s="119"/>
    </x:row>
    <x:row r="86">
      <x:c r="A86" s="119"/>
      <x:c r="B86" s="119"/>
      <x:c r="C86" s="119"/>
      <x:c r="D86" s="119"/>
      <x:c r="E86" s="119"/>
      <x:c r="F86" s="119"/>
      <x:c r="G86" s="119"/>
      <x:c r="H86" s="119"/>
      <x:c r="I86" s="119"/>
      <x:c r="J86" s="119"/>
      <x:c r="K86" s="119"/>
      <x:c r="L86" s="119"/>
      <x:c r="M86" s="119"/>
      <x:c r="N86" s="119"/>
      <x:c r="O86" s="119"/>
      <x:c r="P86" s="119"/>
    </x:row>
    <x:row r="87">
      <x:c r="A87" s="119"/>
      <x:c r="B87" s="119"/>
      <x:c r="C87" s="119"/>
      <x:c r="D87" s="119"/>
      <x:c r="E87" s="119"/>
      <x:c r="F87" s="119"/>
      <x:c r="G87" s="119"/>
      <x:c r="H87" s="119"/>
      <x:c r="I87" s="119"/>
      <x:c r="J87" s="119"/>
      <x:c r="K87" s="119"/>
      <x:c r="L87" s="119"/>
      <x:c r="M87" s="119"/>
      <x:c r="N87" s="119"/>
      <x:c r="O87" s="119"/>
      <x:c r="P87" s="119"/>
    </x:row>
    <x:row r="88">
      <x:c r="A88" s="119"/>
      <x:c r="B88" s="119"/>
      <x:c r="C88" s="119"/>
      <x:c r="D88" s="119"/>
      <x:c r="E88" s="119"/>
      <x:c r="F88" s="119"/>
      <x:c r="G88" s="119"/>
      <x:c r="H88" s="119"/>
      <x:c r="I88" s="119"/>
      <x:c r="J88" s="119"/>
      <x:c r="K88" s="119"/>
      <x:c r="L88" s="119"/>
      <x:c r="M88" s="119"/>
      <x:c r="N88" s="119"/>
      <x:c r="O88" s="119"/>
      <x:c r="P88" s="119"/>
    </x:row>
    <x:row r="89">
      <x:c r="A89" s="119"/>
      <x:c r="B89" s="119"/>
      <x:c r="C89" s="119"/>
      <x:c r="D89" s="119"/>
      <x:c r="E89" s="119"/>
      <x:c r="F89" s="119"/>
      <x:c r="G89" s="119"/>
      <x:c r="H89" s="119"/>
      <x:c r="I89" s="119"/>
      <x:c r="J89" s="119"/>
      <x:c r="K89" s="119"/>
      <x:c r="L89" s="119"/>
      <x:c r="M89" s="119"/>
      <x:c r="N89" s="119"/>
      <x:c r="O89" s="119"/>
      <x:c r="P89" s="119"/>
    </x:row>
    <x:row r="90">
      <x:c r="A90" s="119"/>
      <x:c r="B90" s="119"/>
      <x:c r="C90" s="119"/>
      <x:c r="D90" s="119"/>
      <x:c r="E90" s="119"/>
      <x:c r="F90" s="119"/>
      <x:c r="G90" s="119"/>
      <x:c r="H90" s="119"/>
      <x:c r="I90" s="119"/>
      <x:c r="J90" s="119"/>
      <x:c r="K90" s="119"/>
      <x:c r="L90" s="119"/>
      <x:c r="M90" s="119"/>
      <x:c r="N90" s="119"/>
      <x:c r="O90" s="119"/>
      <x:c r="P90" s="119"/>
    </x:row>
    <x:row r="91">
      <x:c r="A91" s="119"/>
      <x:c r="B91" s="119"/>
      <x:c r="C91" s="119"/>
      <x:c r="D91" s="119"/>
      <x:c r="E91" s="119"/>
      <x:c r="F91" s="119"/>
      <x:c r="G91" s="119"/>
      <x:c r="H91" s="119"/>
      <x:c r="I91" s="119"/>
      <x:c r="J91" s="119"/>
      <x:c r="K91" s="119"/>
      <x:c r="L91" s="119"/>
      <x:c r="M91" s="119"/>
      <x:c r="N91" s="119"/>
      <x:c r="O91" s="119"/>
      <x:c r="P91" s="119"/>
    </x:row>
    <x:row r="92">
      <x:c r="A92" s="119"/>
      <x:c r="B92" s="119"/>
      <x:c r="C92" s="119"/>
      <x:c r="D92" s="119"/>
      <x:c r="E92" s="119"/>
      <x:c r="F92" s="119"/>
      <x:c r="G92" s="119"/>
      <x:c r="H92" s="119"/>
      <x:c r="I92" s="119"/>
      <x:c r="J92" s="119"/>
      <x:c r="K92" s="119"/>
      <x:c r="L92" s="119"/>
      <x:c r="M92" s="119"/>
      <x:c r="N92" s="119"/>
      <x:c r="O92" s="119"/>
      <x:c r="P92" s="119"/>
    </x:row>
    <x:row r="93">
      <x:c r="A93" s="119"/>
      <x:c r="B93" s="119"/>
      <x:c r="C93" s="119"/>
      <x:c r="D93" s="119"/>
      <x:c r="E93" s="119"/>
      <x:c r="F93" s="119"/>
      <x:c r="G93" s="119"/>
      <x:c r="H93" s="119"/>
      <x:c r="I93" s="119"/>
      <x:c r="J93" s="119"/>
      <x:c r="K93" s="119"/>
      <x:c r="L93" s="119"/>
      <x:c r="M93" s="119"/>
      <x:c r="N93" s="119"/>
      <x:c r="O93" s="119"/>
      <x:c r="P93" s="119"/>
    </x:row>
    <x:row r="94">
      <x:c r="A94" s="119"/>
      <x:c r="B94" s="119"/>
      <x:c r="C94" s="119"/>
      <x:c r="D94" s="119"/>
      <x:c r="E94" s="119"/>
      <x:c r="F94" s="119"/>
      <x:c r="G94" s="119"/>
      <x:c r="H94" s="119"/>
      <x:c r="I94" s="119"/>
      <x:c r="J94" s="119"/>
      <x:c r="K94" s="119"/>
      <x:c r="L94" s="119"/>
      <x:c r="M94" s="119"/>
      <x:c r="N94" s="119"/>
      <x:c r="O94" s="119"/>
      <x:c r="P94" s="119"/>
    </x:row>
    <x:row r="95">
      <x:c r="A95" s="119"/>
      <x:c r="B95" s="119"/>
      <x:c r="C95" s="119"/>
      <x:c r="D95" s="119"/>
      <x:c r="E95" s="119"/>
      <x:c r="F95" s="119"/>
      <x:c r="G95" s="119"/>
      <x:c r="H95" s="119"/>
      <x:c r="I95" s="119"/>
      <x:c r="J95" s="119"/>
      <x:c r="K95" s="119"/>
      <x:c r="L95" s="119"/>
      <x:c r="M95" s="119"/>
      <x:c r="N95" s="119"/>
      <x:c r="O95" s="119"/>
      <x:c r="P95" s="119"/>
    </x:row>
    <x:row r="96">
      <x:c r="A96" s="119"/>
      <x:c r="B96" s="119"/>
      <x:c r="C96" s="119"/>
      <x:c r="D96" s="119"/>
      <x:c r="E96" s="119"/>
      <x:c r="F96" s="119"/>
      <x:c r="G96" s="119"/>
      <x:c r="H96" s="119"/>
      <x:c r="I96" s="119"/>
      <x:c r="J96" s="119"/>
      <x:c r="K96" s="119"/>
      <x:c r="L96" s="119"/>
      <x:c r="M96" s="119"/>
      <x:c r="N96" s="119"/>
      <x:c r="O96" s="119"/>
      <x:c r="P96" s="119"/>
    </x:row>
    <x:row r="97">
      <x:c r="A97" s="119"/>
      <x:c r="B97" s="119"/>
      <x:c r="C97" s="119"/>
      <x:c r="D97" s="119"/>
      <x:c r="E97" s="119"/>
      <x:c r="F97" s="119"/>
      <x:c r="G97" s="119"/>
      <x:c r="H97" s="119"/>
      <x:c r="I97" s="119"/>
      <x:c r="J97" s="119"/>
      <x:c r="K97" s="119"/>
      <x:c r="L97" s="119"/>
      <x:c r="M97" s="119"/>
      <x:c r="N97" s="119"/>
      <x:c r="O97" s="119"/>
      <x:c r="P97" s="119"/>
    </x:row>
    <x:row r="98">
      <x:c r="A98" s="119"/>
      <x:c r="B98" s="119"/>
      <x:c r="C98" s="119"/>
      <x:c r="D98" s="119"/>
      <x:c r="E98" s="119"/>
      <x:c r="F98" s="119"/>
      <x:c r="G98" s="119"/>
      <x:c r="H98" s="119"/>
      <x:c r="I98" s="119"/>
      <x:c r="J98" s="119"/>
      <x:c r="K98" s="119"/>
      <x:c r="L98" s="119"/>
      <x:c r="M98" s="119"/>
      <x:c r="N98" s="119"/>
      <x:c r="O98" s="119"/>
      <x:c r="P98" s="119"/>
    </x:row>
    <x:row r="99">
      <x:c r="A99" s="119"/>
      <x:c r="B99" s="119"/>
      <x:c r="C99" s="119"/>
      <x:c r="D99" s="119"/>
      <x:c r="E99" s="119"/>
      <x:c r="F99" s="119"/>
      <x:c r="G99" s="119"/>
      <x:c r="H99" s="119"/>
      <x:c r="I99" s="119"/>
      <x:c r="J99" s="119"/>
      <x:c r="K99" s="119"/>
      <x:c r="L99" s="119"/>
      <x:c r="M99" s="119"/>
      <x:c r="N99" s="119"/>
      <x:c r="O99" s="119"/>
      <x:c r="P99" s="119"/>
    </x:row>
    <x:row r="100">
      <x:c r="A100" s="119"/>
      <x:c r="B100" s="119"/>
      <x:c r="C100" s="119"/>
      <x:c r="D100" s="119"/>
      <x:c r="E100" s="119"/>
      <x:c r="F100" s="119"/>
      <x:c r="G100" s="119"/>
      <x:c r="H100" s="119"/>
      <x:c r="I100" s="119"/>
      <x:c r="J100" s="119"/>
      <x:c r="K100" s="119"/>
      <x:c r="L100" s="119"/>
      <x:c r="M100" s="119"/>
      <x:c r="N100" s="119"/>
      <x:c r="O100" s="119"/>
      <x:c r="P100" s="119"/>
    </x:row>
    <x:row r="101">
      <x:c r="A101" s="119"/>
      <x:c r="B101" s="119"/>
      <x:c r="C101" s="119"/>
      <x:c r="D101" s="119"/>
      <x:c r="E101" s="119"/>
      <x:c r="F101" s="119"/>
      <x:c r="G101" s="119"/>
      <x:c r="H101" s="119"/>
      <x:c r="I101" s="119"/>
      <x:c r="J101" s="119"/>
      <x:c r="K101" s="119"/>
      <x:c r="L101" s="119"/>
      <x:c r="M101" s="119"/>
      <x:c r="N101" s="119"/>
      <x:c r="O101" s="119"/>
      <x:c r="P101" s="119"/>
    </x:row>
    <x:row r="102">
      <x:c r="A102" s="119"/>
      <x:c r="B102" s="119"/>
      <x:c r="C102" s="119"/>
      <x:c r="D102" s="119"/>
      <x:c r="E102" s="119"/>
      <x:c r="F102" s="119"/>
      <x:c r="G102" s="119"/>
      <x:c r="H102" s="119"/>
      <x:c r="I102" s="119"/>
      <x:c r="J102" s="119"/>
      <x:c r="K102" s="119"/>
      <x:c r="L102" s="119"/>
      <x:c r="M102" s="119"/>
      <x:c r="N102" s="119"/>
      <x:c r="O102" s="119"/>
      <x:c r="P102" s="119"/>
    </x:row>
    <x:row r="103">
      <x:c r="A103" s="119"/>
      <x:c r="B103" s="119"/>
      <x:c r="C103" s="119"/>
      <x:c r="D103" s="119"/>
      <x:c r="E103" s="119"/>
      <x:c r="F103" s="119"/>
      <x:c r="G103" s="119"/>
      <x:c r="H103" s="119"/>
      <x:c r="I103" s="119"/>
      <x:c r="J103" s="119"/>
      <x:c r="K103" s="119"/>
      <x:c r="L103" s="119"/>
      <x:c r="M103" s="119"/>
      <x:c r="N103" s="119"/>
      <x:c r="O103" s="119"/>
      <x:c r="P103" s="119"/>
    </x:row>
    <x:row r="104">
      <x:c r="A104" s="119"/>
      <x:c r="B104" s="119"/>
      <x:c r="C104" s="119"/>
      <x:c r="D104" s="119"/>
      <x:c r="E104" s="119"/>
      <x:c r="F104" s="119"/>
      <x:c r="G104" s="119"/>
      <x:c r="H104" s="119"/>
      <x:c r="I104" s="119"/>
      <x:c r="J104" s="119"/>
      <x:c r="K104" s="119"/>
      <x:c r="L104" s="119"/>
      <x:c r="M104" s="119"/>
      <x:c r="N104" s="119"/>
      <x:c r="O104" s="119"/>
      <x:c r="P104" s="119"/>
    </x:row>
    <x:row r="105">
      <x:c r="A105" s="119"/>
      <x:c r="B105" s="119"/>
      <x:c r="C105" s="119"/>
      <x:c r="D105" s="119"/>
      <x:c r="E105" s="119"/>
      <x:c r="F105" s="119"/>
      <x:c r="G105" s="119"/>
      <x:c r="H105" s="119"/>
      <x:c r="I105" s="119"/>
      <x:c r="J105" s="119"/>
      <x:c r="K105" s="119"/>
      <x:c r="L105" s="119"/>
      <x:c r="M105" s="119"/>
      <x:c r="N105" s="119"/>
      <x:c r="O105" s="119"/>
      <x:c r="P105" s="119"/>
    </x:row>
    <x:row r="106">
      <x:c r="A106" s="119"/>
      <x:c r="B106" s="119"/>
      <x:c r="C106" s="119"/>
      <x:c r="D106" s="119"/>
      <x:c r="E106" s="119"/>
      <x:c r="F106" s="119"/>
      <x:c r="G106" s="119"/>
      <x:c r="H106" s="119"/>
      <x:c r="I106" s="119"/>
      <x:c r="J106" s="119"/>
      <x:c r="K106" s="119"/>
      <x:c r="L106" s="119"/>
      <x:c r="M106" s="119"/>
      <x:c r="N106" s="119"/>
      <x:c r="O106" s="119"/>
      <x:c r="P106" s="119"/>
    </x:row>
    <x:row r="107">
      <x:c r="A107" s="119"/>
      <x:c r="B107" s="119"/>
      <x:c r="C107" s="119"/>
      <x:c r="D107" s="119"/>
      <x:c r="E107" s="119"/>
      <x:c r="F107" s="119"/>
      <x:c r="G107" s="119"/>
      <x:c r="H107" s="119"/>
      <x:c r="I107" s="119"/>
      <x:c r="J107" s="119"/>
      <x:c r="K107" s="119"/>
      <x:c r="L107" s="119"/>
      <x:c r="M107" s="119"/>
      <x:c r="N107" s="119"/>
      <x:c r="O107" s="119"/>
      <x:c r="P107" s="119"/>
    </x:row>
    <x:row r="108">
      <x:c r="A108" s="119"/>
      <x:c r="B108" s="119"/>
      <x:c r="C108" s="119"/>
      <x:c r="D108" s="119"/>
      <x:c r="E108" s="119"/>
      <x:c r="F108" s="119"/>
      <x:c r="G108" s="119"/>
      <x:c r="H108" s="119"/>
      <x:c r="I108" s="119"/>
      <x:c r="J108" s="119"/>
      <x:c r="K108" s="119"/>
      <x:c r="L108" s="119"/>
      <x:c r="M108" s="119"/>
      <x:c r="N108" s="119"/>
      <x:c r="O108" s="119"/>
      <x:c r="P108" s="119"/>
    </x:row>
    <x:row r="109">
      <x:c r="A109" s="119"/>
      <x:c r="B109" s="119"/>
      <x:c r="C109" s="119"/>
      <x:c r="D109" s="119"/>
      <x:c r="E109" s="119"/>
      <x:c r="F109" s="119"/>
      <x:c r="G109" s="119"/>
      <x:c r="H109" s="119"/>
      <x:c r="I109" s="119"/>
      <x:c r="J109" s="119"/>
      <x:c r="K109" s="119"/>
      <x:c r="L109" s="119"/>
      <x:c r="M109" s="119"/>
      <x:c r="N109" s="119"/>
      <x:c r="O109" s="119"/>
      <x:c r="P109" s="119"/>
    </x:row>
    <x:row r="110">
      <x:c r="A110" s="119"/>
      <x:c r="B110" s="119"/>
      <x:c r="C110" s="119"/>
      <x:c r="D110" s="119"/>
      <x:c r="E110" s="119"/>
      <x:c r="F110" s="119"/>
      <x:c r="G110" s="119"/>
      <x:c r="H110" s="119"/>
      <x:c r="I110" s="119"/>
      <x:c r="J110" s="119"/>
      <x:c r="K110" s="119"/>
      <x:c r="L110" s="119"/>
      <x:c r="M110" s="119"/>
      <x:c r="N110" s="119"/>
      <x:c r="O110" s="119"/>
      <x:c r="P110" s="119"/>
    </x:row>
    <x:row r="111">
      <x:c r="A111" s="119"/>
      <x:c r="B111" s="119"/>
      <x:c r="C111" s="119"/>
      <x:c r="D111" s="119"/>
      <x:c r="E111" s="119"/>
      <x:c r="F111" s="119"/>
      <x:c r="G111" s="119"/>
      <x:c r="H111" s="119"/>
      <x:c r="I111" s="119"/>
      <x:c r="J111" s="119"/>
      <x:c r="K111" s="119"/>
      <x:c r="L111" s="119"/>
      <x:c r="M111" s="119"/>
      <x:c r="N111" s="119"/>
      <x:c r="O111" s="119"/>
      <x:c r="P111" s="119"/>
    </x:row>
    <x:row r="112">
      <x:c r="A112" s="119"/>
      <x:c r="B112" s="119"/>
      <x:c r="C112" s="119"/>
      <x:c r="D112" s="119"/>
      <x:c r="E112" s="119"/>
      <x:c r="F112" s="119"/>
      <x:c r="G112" s="119"/>
      <x:c r="H112" s="119"/>
      <x:c r="I112" s="119"/>
      <x:c r="J112" s="119"/>
      <x:c r="K112" s="119"/>
      <x:c r="L112" s="119"/>
      <x:c r="M112" s="119"/>
      <x:c r="N112" s="119"/>
      <x:c r="O112" s="119"/>
      <x:c r="P112" s="119"/>
    </x:row>
    <x:row r="113">
      <x:c r="A113" s="119"/>
      <x:c r="B113" s="119"/>
      <x:c r="C113" s="119"/>
      <x:c r="D113" s="119"/>
      <x:c r="E113" s="119"/>
      <x:c r="F113" s="119"/>
      <x:c r="G113" s="119"/>
      <x:c r="H113" s="119"/>
      <x:c r="I113" s="119"/>
      <x:c r="J113" s="119"/>
      <x:c r="K113" s="119"/>
      <x:c r="L113" s="119"/>
      <x:c r="M113" s="119"/>
      <x:c r="N113" s="119"/>
      <x:c r="O113" s="119"/>
      <x:c r="P113" s="119"/>
    </x:row>
    <x:row r="114">
      <x:c r="A114" s="119"/>
      <x:c r="B114" s="119"/>
      <x:c r="C114" s="119"/>
      <x:c r="D114" s="119"/>
      <x:c r="E114" s="119"/>
      <x:c r="F114" s="119"/>
      <x:c r="G114" s="119"/>
      <x:c r="H114" s="119"/>
      <x:c r="I114" s="119"/>
      <x:c r="J114" s="119"/>
      <x:c r="K114" s="119"/>
      <x:c r="L114" s="119"/>
      <x:c r="M114" s="119"/>
      <x:c r="N114" s="119"/>
      <x:c r="O114" s="119"/>
      <x:c r="P114" s="119"/>
    </x:row>
    <x:row r="115">
      <x:c r="A115" s="119"/>
      <x:c r="B115" s="119"/>
      <x:c r="C115" s="119"/>
      <x:c r="D115" s="119"/>
      <x:c r="E115" s="119"/>
      <x:c r="F115" s="119"/>
      <x:c r="G115" s="119"/>
      <x:c r="H115" s="119"/>
      <x:c r="I115" s="119"/>
      <x:c r="J115" s="119"/>
      <x:c r="K115" s="119"/>
      <x:c r="L115" s="119"/>
      <x:c r="M115" s="119"/>
      <x:c r="N115" s="119"/>
      <x:c r="O115" s="119"/>
      <x:c r="P115" s="119"/>
    </x:row>
    <x:row r="116">
      <x:c r="A116" s="119"/>
      <x:c r="B116" s="119"/>
      <x:c r="C116" s="119"/>
      <x:c r="D116" s="119"/>
      <x:c r="E116" s="119"/>
      <x:c r="F116" s="119"/>
      <x:c r="G116" s="119"/>
      <x:c r="H116" s="119"/>
      <x:c r="I116" s="119"/>
      <x:c r="J116" s="119"/>
      <x:c r="K116" s="119"/>
      <x:c r="L116" s="119"/>
      <x:c r="M116" s="119"/>
      <x:c r="N116" s="119"/>
      <x:c r="O116" s="119"/>
      <x:c r="P116" s="119"/>
    </x:row>
    <x:row r="117">
      <x:c r="A117" s="119"/>
      <x:c r="B117" s="119"/>
      <x:c r="C117" s="119"/>
      <x:c r="D117" s="119"/>
      <x:c r="E117" s="119"/>
      <x:c r="F117" s="119"/>
      <x:c r="G117" s="119"/>
      <x:c r="H117" s="119"/>
      <x:c r="I117" s="119"/>
      <x:c r="J117" s="119"/>
      <x:c r="K117" s="119"/>
      <x:c r="L117" s="119"/>
      <x:c r="M117" s="119"/>
      <x:c r="N117" s="119"/>
      <x:c r="O117" s="119"/>
      <x:c r="P117" s="119"/>
    </x:row>
    <x:row r="118">
      <x:c r="A118" s="119"/>
      <x:c r="B118" s="119"/>
      <x:c r="C118" s="119"/>
      <x:c r="D118" s="119"/>
      <x:c r="E118" s="119"/>
      <x:c r="F118" s="119"/>
      <x:c r="G118" s="119"/>
      <x:c r="H118" s="119"/>
      <x:c r="I118" s="119"/>
      <x:c r="J118" s="119"/>
      <x:c r="K118" s="119"/>
      <x:c r="L118" s="119"/>
      <x:c r="M118" s="119"/>
      <x:c r="N118" s="119"/>
      <x:c r="O118" s="119"/>
      <x:c r="P118" s="119"/>
    </x:row>
    <x:row r="119">
      <x:c r="A119" s="119"/>
      <x:c r="B119" s="119"/>
      <x:c r="C119" s="119"/>
      <x:c r="D119" s="119"/>
      <x:c r="E119" s="119"/>
      <x:c r="F119" s="119"/>
      <x:c r="G119" s="119"/>
      <x:c r="H119" s="119"/>
      <x:c r="I119" s="119"/>
      <x:c r="J119" s="119"/>
      <x:c r="K119" s="119"/>
      <x:c r="L119" s="119"/>
      <x:c r="M119" s="119"/>
      <x:c r="N119" s="119"/>
      <x:c r="O119" s="119"/>
      <x:c r="P119" s="119"/>
    </x:row>
    <x:row r="120">
      <x:c r="A120" s="119"/>
      <x:c r="B120" s="119"/>
      <x:c r="C120" s="119"/>
      <x:c r="D120" s="119"/>
      <x:c r="E120" s="119"/>
      <x:c r="F120" s="119"/>
      <x:c r="G120" s="119"/>
      <x:c r="H120" s="119"/>
      <x:c r="I120" s="119"/>
      <x:c r="J120" s="119"/>
      <x:c r="K120" s="119"/>
      <x:c r="L120" s="119"/>
      <x:c r="M120" s="119"/>
      <x:c r="N120" s="119"/>
      <x:c r="O120" s="119"/>
      <x:c r="P120" s="119"/>
    </x:row>
    <x:row r="121">
      <x:c r="A121" s="119"/>
      <x:c r="B121" s="119"/>
      <x:c r="C121" s="119"/>
      <x:c r="D121" s="119"/>
      <x:c r="E121" s="119"/>
      <x:c r="F121" s="119"/>
      <x:c r="G121" s="119"/>
      <x:c r="H121" s="119"/>
      <x:c r="I121" s="119"/>
      <x:c r="J121" s="119"/>
      <x:c r="K121" s="119"/>
      <x:c r="L121" s="119"/>
      <x:c r="M121" s="119"/>
      <x:c r="N121" s="119"/>
      <x:c r="O121" s="119"/>
      <x:c r="P121" s="119"/>
    </x:row>
    <x:row r="122">
      <x:c r="A122" s="119"/>
      <x:c r="B122" s="119"/>
      <x:c r="C122" s="119"/>
      <x:c r="D122" s="119"/>
      <x:c r="E122" s="119"/>
      <x:c r="F122" s="119"/>
      <x:c r="G122" s="119"/>
      <x:c r="H122" s="119"/>
      <x:c r="I122" s="119"/>
      <x:c r="J122" s="119"/>
      <x:c r="K122" s="119"/>
      <x:c r="L122" s="119"/>
      <x:c r="M122" s="119"/>
      <x:c r="N122" s="119"/>
      <x:c r="O122" s="119"/>
      <x:c r="P122" s="119"/>
    </x:row>
    <x:row r="123">
      <x:c r="A123" s="119"/>
      <x:c r="B123" s="119"/>
      <x:c r="C123" s="119"/>
      <x:c r="D123" s="119"/>
      <x:c r="E123" s="119"/>
      <x:c r="F123" s="119"/>
      <x:c r="G123" s="119"/>
      <x:c r="H123" s="119"/>
      <x:c r="I123" s="119"/>
      <x:c r="J123" s="119"/>
      <x:c r="K123" s="119"/>
      <x:c r="L123" s="119"/>
      <x:c r="M123" s="119"/>
      <x:c r="N123" s="119"/>
      <x:c r="O123" s="119"/>
      <x:c r="P123" s="119"/>
    </x:row>
    <x:row r="124">
      <x:c r="A124" s="119"/>
      <x:c r="B124" s="119"/>
      <x:c r="C124" s="119"/>
      <x:c r="D124" s="119"/>
      <x:c r="E124" s="119"/>
      <x:c r="F124" s="119"/>
      <x:c r="G124" s="119"/>
      <x:c r="H124" s="119"/>
      <x:c r="I124" s="119"/>
      <x:c r="J124" s="119"/>
      <x:c r="K124" s="119"/>
      <x:c r="L124" s="119"/>
      <x:c r="M124" s="119"/>
      <x:c r="N124" s="119"/>
      <x:c r="O124" s="119"/>
      <x:c r="P124" s="119"/>
    </x:row>
    <x:row r="125">
      <x:c r="A125" s="119"/>
      <x:c r="B125" s="119"/>
      <x:c r="C125" s="119"/>
      <x:c r="D125" s="119"/>
      <x:c r="E125" s="119"/>
      <x:c r="F125" s="119"/>
      <x:c r="G125" s="119"/>
      <x:c r="H125" s="119"/>
      <x:c r="I125" s="119"/>
      <x:c r="J125" s="119"/>
      <x:c r="K125" s="119"/>
      <x:c r="L125" s="119"/>
      <x:c r="M125" s="119"/>
      <x:c r="N125" s="119"/>
      <x:c r="O125" s="119"/>
      <x:c r="P125" s="119"/>
    </x:row>
    <x:row r="126">
      <x:c r="A126" s="119"/>
      <x:c r="B126" s="119"/>
      <x:c r="C126" s="119"/>
      <x:c r="D126" s="119"/>
      <x:c r="E126" s="119"/>
      <x:c r="F126" s="119"/>
      <x:c r="G126" s="119"/>
      <x:c r="H126" s="119"/>
      <x:c r="I126" s="119"/>
      <x:c r="J126" s="119"/>
      <x:c r="K126" s="119"/>
      <x:c r="L126" s="119"/>
      <x:c r="M126" s="119"/>
      <x:c r="N126" s="119"/>
      <x:c r="O126" s="119"/>
      <x:c r="P126" s="119"/>
    </x:row>
    <x:row r="127">
      <x:c r="A127" s="119"/>
      <x:c r="B127" s="119"/>
      <x:c r="C127" s="119"/>
      <x:c r="D127" s="119"/>
      <x:c r="E127" s="119"/>
      <x:c r="F127" s="119"/>
      <x:c r="G127" s="119"/>
      <x:c r="H127" s="119"/>
      <x:c r="I127" s="119"/>
      <x:c r="J127" s="119"/>
      <x:c r="K127" s="119"/>
      <x:c r="L127" s="119"/>
      <x:c r="M127" s="119"/>
      <x:c r="N127" s="119"/>
      <x:c r="O127" s="119"/>
      <x:c r="P127" s="119"/>
    </x:row>
    <x:row r="128">
      <x:c r="A128" s="119"/>
      <x:c r="B128" s="119"/>
      <x:c r="C128" s="119"/>
      <x:c r="D128" s="119"/>
      <x:c r="E128" s="119"/>
      <x:c r="F128" s="119"/>
      <x:c r="G128" s="119"/>
      <x:c r="H128" s="119"/>
      <x:c r="I128" s="119"/>
      <x:c r="J128" s="119"/>
      <x:c r="K128" s="119"/>
      <x:c r="L128" s="119"/>
      <x:c r="M128" s="119"/>
      <x:c r="N128" s="119"/>
      <x:c r="O128" s="119"/>
      <x:c r="P128" s="119"/>
    </x:row>
    <x:row r="129">
      <x:c r="A129" s="119"/>
      <x:c r="B129" s="119"/>
      <x:c r="C129" s="119"/>
      <x:c r="D129" s="119"/>
      <x:c r="E129" s="119"/>
      <x:c r="F129" s="119"/>
      <x:c r="G129" s="119"/>
      <x:c r="H129" s="119"/>
      <x:c r="I129" s="119"/>
      <x:c r="J129" s="119"/>
      <x:c r="K129" s="119"/>
      <x:c r="L129" s="119"/>
      <x:c r="M129" s="119"/>
      <x:c r="N129" s="119"/>
      <x:c r="O129" s="119"/>
      <x:c r="P129" s="119"/>
    </x:row>
    <x:row r="130">
      <x:c r="A130" s="119"/>
      <x:c r="B130" s="119"/>
      <x:c r="C130" s="119"/>
      <x:c r="D130" s="119"/>
      <x:c r="E130" s="119"/>
      <x:c r="F130" s="119"/>
      <x:c r="G130" s="119"/>
      <x:c r="H130" s="119"/>
      <x:c r="I130" s="119"/>
      <x:c r="J130" s="119"/>
      <x:c r="K130" s="119"/>
      <x:c r="L130" s="119"/>
      <x:c r="M130" s="119"/>
      <x:c r="N130" s="119"/>
      <x:c r="O130" s="119"/>
      <x:c r="P130" s="119"/>
    </x:row>
    <x:row r="131">
      <x:c r="A131" s="119"/>
      <x:c r="B131" s="119"/>
      <x:c r="C131" s="119"/>
      <x:c r="D131" s="119"/>
      <x:c r="E131" s="119"/>
      <x:c r="F131" s="119"/>
      <x:c r="G131" s="119"/>
      <x:c r="H131" s="119"/>
      <x:c r="I131" s="119"/>
      <x:c r="J131" s="119"/>
      <x:c r="K131" s="119"/>
      <x:c r="L131" s="119"/>
      <x:c r="M131" s="119"/>
      <x:c r="N131" s="119"/>
      <x:c r="O131" s="119"/>
      <x:c r="P131" s="119"/>
    </x:row>
    <x:row r="132">
      <x:c r="A132" s="119"/>
      <x:c r="B132" s="119"/>
      <x:c r="C132" s="119"/>
      <x:c r="D132" s="119"/>
      <x:c r="E132" s="119"/>
      <x:c r="F132" s="119"/>
      <x:c r="G132" s="119"/>
      <x:c r="H132" s="119"/>
      <x:c r="I132" s="119"/>
      <x:c r="J132" s="119"/>
      <x:c r="K132" s="119"/>
      <x:c r="L132" s="119"/>
      <x:c r="M132" s="119"/>
      <x:c r="N132" s="119"/>
      <x:c r="O132" s="119"/>
      <x:c r="P132" s="119"/>
    </x:row>
    <x:row r="133">
      <x:c r="A133" s="119"/>
      <x:c r="B133" s="119"/>
      <x:c r="C133" s="119"/>
      <x:c r="D133" s="119"/>
      <x:c r="E133" s="119"/>
      <x:c r="F133" s="119"/>
      <x:c r="G133" s="119"/>
      <x:c r="H133" s="119"/>
      <x:c r="I133" s="119"/>
      <x:c r="J133" s="119"/>
      <x:c r="K133" s="119"/>
      <x:c r="L133" s="119"/>
      <x:c r="M133" s="119"/>
      <x:c r="N133" s="119"/>
      <x:c r="O133" s="119"/>
      <x:c r="P133" s="119"/>
    </x:row>
    <x:row r="134">
      <x:c r="A134" s="119"/>
      <x:c r="B134" s="119"/>
      <x:c r="C134" s="119"/>
      <x:c r="D134" s="119"/>
      <x:c r="E134" s="119"/>
      <x:c r="F134" s="119"/>
      <x:c r="G134" s="119"/>
      <x:c r="H134" s="119"/>
      <x:c r="I134" s="119"/>
      <x:c r="J134" s="119"/>
      <x:c r="K134" s="119"/>
      <x:c r="L134" s="119"/>
      <x:c r="M134" s="119"/>
      <x:c r="N134" s="119"/>
      <x:c r="O134" s="119"/>
      <x:c r="P134" s="119"/>
    </x:row>
    <x:row r="135">
      <x:c r="A135" s="119"/>
      <x:c r="B135" s="119"/>
      <x:c r="C135" s="119"/>
      <x:c r="D135" s="119"/>
      <x:c r="E135" s="119"/>
      <x:c r="F135" s="119"/>
      <x:c r="G135" s="119"/>
      <x:c r="H135" s="119"/>
      <x:c r="I135" s="119"/>
      <x:c r="J135" s="119"/>
      <x:c r="K135" s="119"/>
      <x:c r="L135" s="119"/>
      <x:c r="M135" s="119"/>
      <x:c r="N135" s="119"/>
      <x:c r="O135" s="119"/>
      <x:c r="P135" s="119"/>
    </x:row>
    <x:row r="136">
      <x:c r="A136" s="119"/>
      <x:c r="B136" s="119"/>
      <x:c r="C136" s="119"/>
      <x:c r="D136" s="119"/>
      <x:c r="E136" s="119"/>
      <x:c r="F136" s="119"/>
      <x:c r="G136" s="119"/>
      <x:c r="H136" s="119"/>
      <x:c r="I136" s="119"/>
      <x:c r="J136" s="119"/>
      <x:c r="K136" s="119"/>
      <x:c r="L136" s="119"/>
      <x:c r="M136" s="119"/>
      <x:c r="N136" s="119"/>
      <x:c r="O136" s="119"/>
      <x:c r="P136" s="119"/>
    </x:row>
    <x:row r="137">
      <x:c r="A137" s="119"/>
      <x:c r="B137" s="119"/>
      <x:c r="C137" s="119"/>
      <x:c r="D137" s="119"/>
      <x:c r="E137" s="119"/>
      <x:c r="F137" s="119"/>
      <x:c r="G137" s="119"/>
      <x:c r="H137" s="119"/>
      <x:c r="I137" s="119"/>
      <x:c r="J137" s="119"/>
      <x:c r="K137" s="119"/>
      <x:c r="L137" s="119"/>
      <x:c r="M137" s="119"/>
      <x:c r="N137" s="119"/>
      <x:c r="O137" s="119"/>
      <x:c r="P137" s="119"/>
    </x:row>
    <x:row r="138">
      <x:c r="A138" s="119"/>
      <x:c r="B138" s="119"/>
      <x:c r="C138" s="119"/>
      <x:c r="D138" s="119"/>
      <x:c r="E138" s="119"/>
      <x:c r="F138" s="119"/>
      <x:c r="G138" s="119"/>
      <x:c r="H138" s="119"/>
      <x:c r="I138" s="119"/>
      <x:c r="J138" s="119"/>
      <x:c r="K138" s="119"/>
      <x:c r="L138" s="119"/>
      <x:c r="M138" s="119"/>
      <x:c r="N138" s="119"/>
      <x:c r="O138" s="119"/>
      <x:c r="P138" s="119"/>
    </x:row>
    <x:row r="139">
      <x:c r="A139" s="119"/>
      <x:c r="B139" s="119"/>
      <x:c r="C139" s="119"/>
      <x:c r="D139" s="119"/>
      <x:c r="E139" s="119"/>
      <x:c r="F139" s="119"/>
      <x:c r="G139" s="119"/>
      <x:c r="H139" s="119"/>
      <x:c r="I139" s="119"/>
      <x:c r="J139" s="119"/>
      <x:c r="K139" s="119"/>
      <x:c r="L139" s="119"/>
      <x:c r="M139" s="119"/>
      <x:c r="N139" s="119"/>
      <x:c r="O139" s="119"/>
      <x:c r="P139" s="119"/>
    </x:row>
    <x:row r="140">
      <x:c r="A140" s="119"/>
      <x:c r="B140" s="119"/>
      <x:c r="C140" s="119"/>
      <x:c r="D140" s="119"/>
      <x:c r="E140" s="119"/>
      <x:c r="F140" s="119"/>
      <x:c r="G140" s="119"/>
      <x:c r="H140" s="119"/>
      <x:c r="I140" s="119"/>
      <x:c r="J140" s="119"/>
      <x:c r="K140" s="119"/>
      <x:c r="L140" s="119"/>
      <x:c r="M140" s="119"/>
      <x:c r="N140" s="119"/>
      <x:c r="O140" s="119"/>
      <x:c r="P140" s="119"/>
    </x:row>
    <x:row r="141">
      <x:c r="A141" s="119"/>
      <x:c r="B141" s="119"/>
      <x:c r="C141" s="119"/>
      <x:c r="D141" s="119"/>
      <x:c r="E141" s="119"/>
      <x:c r="F141" s="119"/>
      <x:c r="G141" s="119"/>
      <x:c r="H141" s="119"/>
      <x:c r="I141" s="119"/>
      <x:c r="J141" s="119"/>
      <x:c r="K141" s="119"/>
      <x:c r="L141" s="119"/>
      <x:c r="M141" s="119"/>
      <x:c r="N141" s="119"/>
      <x:c r="O141" s="119"/>
      <x:c r="P141" s="119"/>
    </x:row>
    <x:row r="142">
      <x:c r="A142" s="119"/>
      <x:c r="B142" s="119"/>
      <x:c r="C142" s="119"/>
      <x:c r="D142" s="119"/>
      <x:c r="E142" s="119"/>
      <x:c r="F142" s="119"/>
      <x:c r="G142" s="119"/>
      <x:c r="H142" s="119"/>
      <x:c r="I142" s="119"/>
      <x:c r="J142" s="119"/>
      <x:c r="K142" s="119"/>
      <x:c r="L142" s="119"/>
      <x:c r="M142" s="119"/>
      <x:c r="N142" s="119"/>
      <x:c r="O142" s="119"/>
      <x:c r="P142" s="119"/>
    </x:row>
    <x:row r="143">
      <x:c r="A143" s="119"/>
      <x:c r="B143" s="119"/>
      <x:c r="C143" s="119"/>
      <x:c r="D143" s="119"/>
      <x:c r="E143" s="119"/>
      <x:c r="F143" s="119"/>
      <x:c r="G143" s="119"/>
      <x:c r="H143" s="119"/>
      <x:c r="I143" s="119"/>
      <x:c r="J143" s="119"/>
      <x:c r="K143" s="119"/>
      <x:c r="L143" s="119"/>
      <x:c r="M143" s="119"/>
      <x:c r="N143" s="119"/>
      <x:c r="O143" s="119"/>
      <x:c r="P143" s="119"/>
    </x:row>
    <x:row r="144">
      <x:c r="A144" s="119"/>
      <x:c r="B144" s="119"/>
      <x:c r="C144" s="119"/>
      <x:c r="D144" s="119"/>
      <x:c r="E144" s="119"/>
      <x:c r="F144" s="119"/>
      <x:c r="G144" s="119"/>
      <x:c r="H144" s="119"/>
      <x:c r="I144" s="119"/>
      <x:c r="J144" s="119"/>
      <x:c r="K144" s="119"/>
      <x:c r="L144" s="119"/>
      <x:c r="M144" s="119"/>
      <x:c r="N144" s="119"/>
      <x:c r="O144" s="119"/>
      <x:c r="P144" s="119"/>
    </x:row>
    <x:row r="145">
      <x:c r="A145" s="119"/>
      <x:c r="B145" s="119"/>
      <x:c r="C145" s="119"/>
      <x:c r="D145" s="119"/>
      <x:c r="E145" s="119"/>
      <x:c r="F145" s="119"/>
      <x:c r="G145" s="119"/>
      <x:c r="H145" s="119"/>
      <x:c r="I145" s="119"/>
      <x:c r="J145" s="119"/>
      <x:c r="K145" s="119"/>
      <x:c r="L145" s="119"/>
      <x:c r="M145" s="119"/>
      <x:c r="N145" s="119"/>
      <x:c r="O145" s="119"/>
      <x:c r="P145" s="119"/>
    </x:row>
    <x:row r="146">
      <x:c r="A146" s="119"/>
      <x:c r="B146" s="119"/>
      <x:c r="C146" s="119"/>
      <x:c r="D146" s="119"/>
      <x:c r="E146" s="119"/>
      <x:c r="F146" s="119"/>
      <x:c r="G146" s="119"/>
      <x:c r="H146" s="119"/>
      <x:c r="I146" s="119"/>
      <x:c r="J146" s="119"/>
      <x:c r="K146" s="119"/>
      <x:c r="L146" s="119"/>
      <x:c r="M146" s="119"/>
      <x:c r="N146" s="119"/>
      <x:c r="O146" s="119"/>
      <x:c r="P146" s="119"/>
    </x:row>
    <x:row r="147">
      <x:c r="A147" s="119"/>
      <x:c r="B147" s="119"/>
      <x:c r="C147" s="119"/>
      <x:c r="D147" s="119"/>
      <x:c r="E147" s="119"/>
      <x:c r="F147" s="119"/>
      <x:c r="G147" s="119"/>
      <x:c r="H147" s="119"/>
      <x:c r="I147" s="119"/>
      <x:c r="J147" s="119"/>
      <x:c r="K147" s="119"/>
      <x:c r="L147" s="119"/>
      <x:c r="M147" s="119"/>
      <x:c r="N147" s="119"/>
      <x:c r="O147" s="119"/>
      <x:c r="P147" s="119"/>
    </x:row>
    <x:row r="148">
      <x:c r="A148" s="119"/>
      <x:c r="B148" s="119"/>
      <x:c r="C148" s="119"/>
      <x:c r="D148" s="119"/>
      <x:c r="E148" s="119"/>
      <x:c r="F148" s="119"/>
      <x:c r="G148" s="119"/>
      <x:c r="H148" s="119"/>
      <x:c r="I148" s="119"/>
      <x:c r="J148" s="119"/>
      <x:c r="K148" s="119"/>
      <x:c r="L148" s="119"/>
      <x:c r="M148" s="119"/>
      <x:c r="N148" s="119"/>
      <x:c r="O148" s="119"/>
      <x:c r="P148" s="119"/>
    </x:row>
    <x:row r="149">
      <x:c r="A149" s="119"/>
      <x:c r="B149" s="119"/>
      <x:c r="C149" s="119"/>
      <x:c r="D149" s="119"/>
      <x:c r="E149" s="119"/>
      <x:c r="F149" s="119"/>
      <x:c r="G149" s="119"/>
      <x:c r="H149" s="119"/>
      <x:c r="I149" s="119"/>
      <x:c r="J149" s="119"/>
      <x:c r="K149" s="119"/>
      <x:c r="L149" s="119"/>
      <x:c r="M149" s="119"/>
      <x:c r="N149" s="119"/>
      <x:c r="O149" s="119"/>
      <x:c r="P149" s="119"/>
    </x:row>
    <x:row r="150">
      <x:c r="A150" s="119"/>
      <x:c r="B150" s="119"/>
      <x:c r="C150" s="119"/>
      <x:c r="D150" s="119"/>
      <x:c r="E150" s="119"/>
      <x:c r="F150" s="119"/>
      <x:c r="G150" s="119"/>
      <x:c r="H150" s="119"/>
      <x:c r="I150" s="119"/>
      <x:c r="J150" s="119"/>
      <x:c r="K150" s="119"/>
      <x:c r="L150" s="119"/>
      <x:c r="M150" s="119"/>
      <x:c r="N150" s="119"/>
      <x:c r="O150" s="119"/>
      <x:c r="P150" s="119"/>
    </x:row>
    <x:row r="151">
      <x:c r="A151" s="119"/>
      <x:c r="B151" s="119"/>
      <x:c r="C151" s="119"/>
      <x:c r="D151" s="119"/>
      <x:c r="E151" s="119"/>
      <x:c r="F151" s="119"/>
      <x:c r="G151" s="119"/>
      <x:c r="H151" s="119"/>
      <x:c r="I151" s="119"/>
      <x:c r="J151" s="119"/>
      <x:c r="K151" s="119"/>
      <x:c r="L151" s="119"/>
      <x:c r="M151" s="119"/>
      <x:c r="N151" s="119"/>
      <x:c r="O151" s="119"/>
      <x:c r="P151" s="119"/>
    </x:row>
    <x:row r="152">
      <x:c r="A152" s="119"/>
      <x:c r="B152" s="119"/>
      <x:c r="C152" s="119"/>
      <x:c r="D152" s="119"/>
      <x:c r="E152" s="119"/>
      <x:c r="F152" s="119"/>
      <x:c r="G152" s="119"/>
      <x:c r="H152" s="119"/>
      <x:c r="I152" s="119"/>
      <x:c r="J152" s="119"/>
      <x:c r="K152" s="119"/>
      <x:c r="L152" s="119"/>
      <x:c r="M152" s="119"/>
      <x:c r="N152" s="119"/>
      <x:c r="O152" s="119"/>
      <x:c r="P152" s="119"/>
    </x:row>
    <x:row r="153">
      <x:c r="A153" s="119"/>
      <x:c r="B153" s="119"/>
      <x:c r="C153" s="119"/>
      <x:c r="D153" s="119"/>
      <x:c r="E153" s="119"/>
      <x:c r="F153" s="119"/>
      <x:c r="G153" s="119"/>
      <x:c r="H153" s="119"/>
      <x:c r="I153" s="119"/>
      <x:c r="J153" s="119"/>
      <x:c r="K153" s="119"/>
      <x:c r="L153" s="119"/>
      <x:c r="M153" s="119"/>
      <x:c r="N153" s="119"/>
      <x:c r="O153" s="119"/>
      <x:c r="P153" s="119"/>
    </x:row>
    <x:row r="154">
      <x:c r="A154" s="119"/>
      <x:c r="B154" s="119"/>
      <x:c r="C154" s="119"/>
      <x:c r="D154" s="119"/>
      <x:c r="E154" s="119"/>
      <x:c r="F154" s="119"/>
      <x:c r="G154" s="119"/>
      <x:c r="H154" s="119"/>
      <x:c r="I154" s="119"/>
      <x:c r="J154" s="119"/>
      <x:c r="K154" s="119"/>
      <x:c r="L154" s="119"/>
      <x:c r="M154" s="119"/>
      <x:c r="N154" s="119"/>
      <x:c r="O154" s="119"/>
      <x:c r="P154" s="119"/>
    </x:row>
    <x:row r="155">
      <x:c r="A155" s="119"/>
      <x:c r="B155" s="119"/>
      <x:c r="C155" s="119"/>
      <x:c r="D155" s="119"/>
      <x:c r="E155" s="119"/>
      <x:c r="F155" s="119"/>
      <x:c r="G155" s="119"/>
      <x:c r="H155" s="119"/>
      <x:c r="I155" s="119"/>
      <x:c r="J155" s="119"/>
      <x:c r="K155" s="119"/>
      <x:c r="L155" s="119"/>
      <x:c r="M155" s="119"/>
      <x:c r="N155" s="119"/>
      <x:c r="O155" s="119"/>
      <x:c r="P155" s="119"/>
    </x:row>
    <x:row r="156">
      <x:c r="A156" s="119"/>
      <x:c r="B156" s="119"/>
      <x:c r="C156" s="119"/>
      <x:c r="D156" s="119"/>
      <x:c r="E156" s="119"/>
      <x:c r="F156" s="119"/>
      <x:c r="G156" s="119"/>
      <x:c r="H156" s="119"/>
      <x:c r="I156" s="119"/>
      <x:c r="J156" s="119"/>
      <x:c r="K156" s="119"/>
      <x:c r="L156" s="119"/>
      <x:c r="M156" s="119"/>
      <x:c r="N156" s="119"/>
      <x:c r="O156" s="119"/>
      <x:c r="P156" s="119"/>
    </x:row>
    <x:row r="157">
      <x:c r="A157" s="119"/>
      <x:c r="B157" s="119"/>
      <x:c r="C157" s="119"/>
      <x:c r="D157" s="119"/>
      <x:c r="E157" s="119"/>
      <x:c r="F157" s="119"/>
      <x:c r="G157" s="119"/>
      <x:c r="H157" s="119"/>
      <x:c r="I157" s="119"/>
      <x:c r="J157" s="119"/>
      <x:c r="K157" s="119"/>
      <x:c r="L157" s="119"/>
      <x:c r="M157" s="119"/>
      <x:c r="N157" s="119"/>
      <x:c r="O157" s="119"/>
      <x:c r="P157" s="119"/>
    </x:row>
    <x:row r="158">
      <x:c r="A158" s="119"/>
      <x:c r="B158" s="119"/>
      <x:c r="C158" s="119"/>
      <x:c r="D158" s="119"/>
      <x:c r="E158" s="119"/>
      <x:c r="F158" s="119"/>
      <x:c r="G158" s="119"/>
      <x:c r="H158" s="119"/>
      <x:c r="I158" s="119"/>
      <x:c r="J158" s="119"/>
      <x:c r="K158" s="119"/>
      <x:c r="L158" s="119"/>
      <x:c r="M158" s="119"/>
      <x:c r="N158" s="119"/>
      <x:c r="O158" s="119"/>
      <x:c r="P158" s="119"/>
    </x:row>
    <x:row r="159">
      <x:c r="A159" s="119"/>
      <x:c r="B159" s="119"/>
      <x:c r="C159" s="119"/>
      <x:c r="D159" s="119"/>
      <x:c r="E159" s="119"/>
      <x:c r="F159" s="119"/>
      <x:c r="G159" s="119"/>
      <x:c r="H159" s="119"/>
      <x:c r="I159" s="119"/>
      <x:c r="J159" s="119"/>
      <x:c r="K159" s="119"/>
      <x:c r="L159" s="119"/>
      <x:c r="M159" s="119"/>
      <x:c r="N159" s="119"/>
      <x:c r="O159" s="119"/>
      <x:c r="P159" s="119"/>
    </x:row>
    <x:row r="160">
      <x:c r="A160" s="119"/>
      <x:c r="B160" s="119"/>
      <x:c r="C160" s="119"/>
      <x:c r="D160" s="119"/>
      <x:c r="E160" s="119"/>
      <x:c r="F160" s="119"/>
      <x:c r="G160" s="119"/>
      <x:c r="H160" s="119"/>
      <x:c r="I160" s="119"/>
      <x:c r="J160" s="119"/>
      <x:c r="K160" s="119"/>
      <x:c r="L160" s="119"/>
      <x:c r="M160" s="119"/>
      <x:c r="N160" s="119"/>
      <x:c r="O160" s="119"/>
      <x:c r="P160" s="119"/>
    </x:row>
    <x:row r="161">
      <x:c r="A161" s="119"/>
      <x:c r="B161" s="119"/>
      <x:c r="C161" s="119"/>
      <x:c r="D161" s="119"/>
      <x:c r="E161" s="119"/>
      <x:c r="F161" s="119"/>
      <x:c r="G161" s="119"/>
      <x:c r="H161" s="119"/>
      <x:c r="I161" s="119"/>
      <x:c r="J161" s="119"/>
      <x:c r="K161" s="119"/>
      <x:c r="L161" s="119"/>
      <x:c r="M161" s="119"/>
      <x:c r="N161" s="119"/>
      <x:c r="O161" s="119"/>
      <x:c r="P161" s="119"/>
    </x:row>
    <x:row r="162">
      <x:c r="A162" s="119"/>
      <x:c r="B162" s="119"/>
      <x:c r="C162" s="119"/>
      <x:c r="D162" s="119"/>
      <x:c r="E162" s="119"/>
      <x:c r="F162" s="119"/>
      <x:c r="G162" s="119"/>
      <x:c r="H162" s="119"/>
      <x:c r="I162" s="119"/>
      <x:c r="J162" s="119"/>
      <x:c r="K162" s="119"/>
      <x:c r="L162" s="119"/>
      <x:c r="M162" s="119"/>
      <x:c r="N162" s="119"/>
      <x:c r="O162" s="119"/>
      <x:c r="P162" s="119"/>
    </x:row>
    <x:row r="163">
      <x:c r="A163" s="119"/>
      <x:c r="B163" s="119"/>
      <x:c r="C163" s="119"/>
      <x:c r="D163" s="119"/>
      <x:c r="E163" s="119"/>
      <x:c r="F163" s="119"/>
      <x:c r="G163" s="119"/>
      <x:c r="H163" s="119"/>
      <x:c r="I163" s="119"/>
      <x:c r="J163" s="119"/>
      <x:c r="K163" s="119"/>
      <x:c r="L163" s="119"/>
      <x:c r="M163" s="119"/>
      <x:c r="N163" s="119"/>
      <x:c r="O163" s="119"/>
      <x:c r="P163" s="119"/>
    </x:row>
    <x:row r="164">
      <x:c r="A164" s="119"/>
      <x:c r="B164" s="119"/>
      <x:c r="C164" s="119"/>
      <x:c r="D164" s="119"/>
      <x:c r="E164" s="119"/>
      <x:c r="F164" s="119"/>
      <x:c r="G164" s="119"/>
      <x:c r="H164" s="119"/>
      <x:c r="I164" s="119"/>
      <x:c r="J164" s="119"/>
      <x:c r="K164" s="119"/>
      <x:c r="L164" s="119"/>
      <x:c r="M164" s="119"/>
      <x:c r="N164" s="119"/>
      <x:c r="O164" s="119"/>
      <x:c r="P164" s="119"/>
    </x:row>
    <x:row r="165">
      <x:c r="A165" s="119"/>
      <x:c r="B165" s="119"/>
      <x:c r="C165" s="119"/>
      <x:c r="D165" s="119"/>
      <x:c r="E165" s="119"/>
      <x:c r="F165" s="119"/>
      <x:c r="G165" s="119"/>
      <x:c r="H165" s="119"/>
      <x:c r="I165" s="119"/>
      <x:c r="J165" s="119"/>
      <x:c r="K165" s="119"/>
      <x:c r="L165" s="119"/>
      <x:c r="M165" s="119"/>
      <x:c r="N165" s="119"/>
      <x:c r="O165" s="119"/>
      <x:c r="P165" s="119"/>
    </x:row>
    <x:row r="166">
      <x:c r="A166" s="119"/>
      <x:c r="B166" s="119"/>
      <x:c r="C166" s="119"/>
      <x:c r="D166" s="119"/>
      <x:c r="E166" s="119"/>
      <x:c r="F166" s="119"/>
      <x:c r="G166" s="119"/>
      <x:c r="H166" s="119"/>
      <x:c r="I166" s="119"/>
      <x:c r="J166" s="119"/>
      <x:c r="K166" s="119"/>
      <x:c r="L166" s="119"/>
      <x:c r="M166" s="119"/>
      <x:c r="N166" s="119"/>
      <x:c r="O166" s="119"/>
      <x:c r="P166" s="119"/>
    </x:row>
    <x:row r="167">
      <x:c r="A167" s="119"/>
      <x:c r="B167" s="119"/>
      <x:c r="C167" s="119"/>
      <x:c r="D167" s="119"/>
      <x:c r="E167" s="119"/>
      <x:c r="F167" s="119"/>
      <x:c r="G167" s="119"/>
      <x:c r="H167" s="119"/>
      <x:c r="I167" s="119"/>
      <x:c r="J167" s="119"/>
      <x:c r="K167" s="119"/>
      <x:c r="L167" s="119"/>
      <x:c r="M167" s="119"/>
      <x:c r="N167" s="119"/>
      <x:c r="O167" s="119"/>
      <x:c r="P167" s="119"/>
    </x:row>
    <x:row r="168">
      <x:c r="A168" s="119"/>
      <x:c r="B168" s="119"/>
      <x:c r="C168" s="119"/>
      <x:c r="D168" s="119"/>
      <x:c r="E168" s="119"/>
      <x:c r="F168" s="119"/>
      <x:c r="G168" s="119"/>
      <x:c r="H168" s="119"/>
      <x:c r="I168" s="119"/>
      <x:c r="J168" s="119"/>
      <x:c r="K168" s="119"/>
      <x:c r="L168" s="119"/>
      <x:c r="M168" s="119"/>
      <x:c r="N168" s="119"/>
      <x:c r="O168" s="119"/>
      <x:c r="P168" s="119"/>
    </x:row>
    <x:row r="169">
      <x:c r="A169" s="119"/>
      <x:c r="B169" s="119"/>
      <x:c r="C169" s="119"/>
      <x:c r="D169" s="119"/>
      <x:c r="E169" s="119"/>
      <x:c r="F169" s="119"/>
      <x:c r="G169" s="119"/>
      <x:c r="H169" s="119"/>
      <x:c r="I169" s="119"/>
      <x:c r="J169" s="119"/>
      <x:c r="K169" s="119"/>
      <x:c r="L169" s="119"/>
      <x:c r="M169" s="119"/>
      <x:c r="N169" s="119"/>
      <x:c r="O169" s="119"/>
      <x:c r="P169" s="119"/>
    </x:row>
    <x:row r="170">
      <x:c r="A170" s="119"/>
      <x:c r="B170" s="119"/>
      <x:c r="C170" s="119"/>
      <x:c r="D170" s="119"/>
      <x:c r="E170" s="119"/>
      <x:c r="F170" s="119"/>
      <x:c r="G170" s="119"/>
      <x:c r="H170" s="119"/>
      <x:c r="I170" s="119"/>
      <x:c r="J170" s="119"/>
      <x:c r="K170" s="119"/>
      <x:c r="L170" s="119"/>
      <x:c r="M170" s="119"/>
      <x:c r="N170" s="119"/>
      <x:c r="O170" s="119"/>
      <x:c r="P170" s="119"/>
    </x:row>
    <x:row r="171">
      <x:c r="A171" s="119"/>
      <x:c r="B171" s="119"/>
      <x:c r="C171" s="119"/>
      <x:c r="D171" s="119"/>
      <x:c r="E171" s="119"/>
      <x:c r="F171" s="119"/>
      <x:c r="G171" s="119"/>
      <x:c r="H171" s="119"/>
      <x:c r="I171" s="119"/>
      <x:c r="J171" s="119"/>
      <x:c r="K171" s="119"/>
      <x:c r="L171" s="119"/>
      <x:c r="M171" s="119"/>
      <x:c r="N171" s="119"/>
      <x:c r="O171" s="119"/>
      <x:c r="P171" s="119"/>
    </x:row>
    <x:row r="172">
      <x:c r="A172" s="119"/>
      <x:c r="B172" s="119"/>
      <x:c r="C172" s="119"/>
      <x:c r="D172" s="119"/>
      <x:c r="E172" s="119"/>
      <x:c r="F172" s="119"/>
      <x:c r="G172" s="119"/>
      <x:c r="H172" s="119"/>
      <x:c r="I172" s="119"/>
      <x:c r="J172" s="119"/>
      <x:c r="K172" s="119"/>
      <x:c r="L172" s="119"/>
      <x:c r="M172" s="119"/>
      <x:c r="N172" s="119"/>
      <x:c r="O172" s="119"/>
      <x:c r="P172" s="119"/>
    </x:row>
    <x:row r="173">
      <x:c r="A173" s="119"/>
      <x:c r="B173" s="119"/>
      <x:c r="C173" s="119"/>
      <x:c r="D173" s="119"/>
      <x:c r="E173" s="119"/>
      <x:c r="F173" s="119"/>
      <x:c r="G173" s="119"/>
      <x:c r="H173" s="119"/>
      <x:c r="I173" s="119"/>
      <x:c r="J173" s="119"/>
      <x:c r="K173" s="119"/>
      <x:c r="L173" s="119"/>
      <x:c r="M173" s="119"/>
      <x:c r="N173" s="119"/>
      <x:c r="O173" s="119"/>
      <x:c r="P173" s="119"/>
    </x:row>
    <x:row r="174">
      <x:c r="A174" s="119"/>
      <x:c r="B174" s="119"/>
      <x:c r="C174" s="119"/>
      <x:c r="D174" s="119"/>
      <x:c r="E174" s="119"/>
      <x:c r="F174" s="119"/>
      <x:c r="G174" s="119"/>
      <x:c r="H174" s="119"/>
      <x:c r="I174" s="119"/>
      <x:c r="J174" s="119"/>
      <x:c r="K174" s="119"/>
      <x:c r="L174" s="119"/>
      <x:c r="M174" s="119"/>
      <x:c r="N174" s="119"/>
      <x:c r="O174" s="119"/>
      <x:c r="P174" s="119"/>
    </x:row>
    <x:row r="175">
      <x:c r="A175" s="119"/>
      <x:c r="B175" s="119"/>
      <x:c r="C175" s="119"/>
      <x:c r="D175" s="119"/>
      <x:c r="E175" s="119"/>
      <x:c r="F175" s="119"/>
      <x:c r="G175" s="119"/>
      <x:c r="H175" s="119"/>
      <x:c r="I175" s="119"/>
      <x:c r="J175" s="119"/>
      <x:c r="K175" s="119"/>
      <x:c r="L175" s="119"/>
      <x:c r="M175" s="119"/>
      <x:c r="N175" s="119"/>
      <x:c r="O175" s="119"/>
      <x:c r="P175" s="119"/>
    </x:row>
    <x:row r="176">
      <x:c r="A176" s="119"/>
      <x:c r="B176" s="119"/>
      <x:c r="C176" s="119"/>
      <x:c r="D176" s="119"/>
      <x:c r="E176" s="119"/>
      <x:c r="F176" s="119"/>
      <x:c r="G176" s="119"/>
      <x:c r="H176" s="119"/>
      <x:c r="I176" s="119"/>
      <x:c r="J176" s="119"/>
      <x:c r="K176" s="119"/>
      <x:c r="L176" s="119"/>
      <x:c r="M176" s="119"/>
      <x:c r="N176" s="119"/>
      <x:c r="O176" s="119"/>
      <x:c r="P176" s="119"/>
    </x:row>
    <x:row r="177">
      <x:c r="A177" s="119"/>
      <x:c r="B177" s="119"/>
      <x:c r="C177" s="119"/>
      <x:c r="D177" s="119"/>
      <x:c r="E177" s="119"/>
      <x:c r="F177" s="119"/>
      <x:c r="G177" s="119"/>
      <x:c r="H177" s="119"/>
      <x:c r="I177" s="119"/>
      <x:c r="J177" s="119"/>
      <x:c r="K177" s="119"/>
      <x:c r="L177" s="119"/>
      <x:c r="M177" s="119"/>
      <x:c r="N177" s="119"/>
      <x:c r="O177" s="119"/>
      <x:c r="P177" s="119"/>
    </x:row>
    <x:row r="178">
      <x:c r="A178" s="119"/>
      <x:c r="B178" s="119"/>
      <x:c r="C178" s="119"/>
      <x:c r="D178" s="119"/>
      <x:c r="E178" s="119"/>
      <x:c r="F178" s="119"/>
      <x:c r="G178" s="119"/>
      <x:c r="H178" s="119"/>
      <x:c r="I178" s="119"/>
      <x:c r="J178" s="119"/>
      <x:c r="K178" s="119"/>
      <x:c r="L178" s="119"/>
      <x:c r="M178" s="119"/>
      <x:c r="N178" s="119"/>
      <x:c r="O178" s="119"/>
      <x:c r="P178" s="119"/>
    </x:row>
    <x:row r="179">
      <x:c r="A179" s="119"/>
      <x:c r="B179" s="119"/>
      <x:c r="C179" s="119"/>
      <x:c r="D179" s="119"/>
      <x:c r="E179" s="119"/>
      <x:c r="F179" s="119"/>
      <x:c r="G179" s="119"/>
      <x:c r="H179" s="119"/>
      <x:c r="I179" s="119"/>
      <x:c r="J179" s="119"/>
      <x:c r="K179" s="119"/>
      <x:c r="L179" s="119"/>
      <x:c r="M179" s="119"/>
      <x:c r="N179" s="119"/>
      <x:c r="O179" s="119"/>
      <x:c r="P179" s="119"/>
    </x:row>
    <x:row r="180">
      <x:c r="A180" s="119"/>
      <x:c r="B180" s="119"/>
      <x:c r="C180" s="119"/>
      <x:c r="D180" s="119"/>
      <x:c r="E180" s="119"/>
      <x:c r="F180" s="119"/>
      <x:c r="G180" s="119"/>
      <x:c r="H180" s="119"/>
      <x:c r="I180" s="119"/>
      <x:c r="J180" s="119"/>
      <x:c r="K180" s="119"/>
      <x:c r="L180" s="119"/>
      <x:c r="M180" s="119"/>
      <x:c r="N180" s="119"/>
      <x:c r="O180" s="119"/>
      <x:c r="P180" s="119"/>
    </x:row>
    <x:row r="181">
      <x:c r="A181" s="119"/>
      <x:c r="B181" s="119"/>
      <x:c r="C181" s="119"/>
      <x:c r="D181" s="119"/>
      <x:c r="E181" s="119"/>
      <x:c r="F181" s="119"/>
      <x:c r="G181" s="119"/>
      <x:c r="H181" s="119"/>
      <x:c r="I181" s="119"/>
      <x:c r="J181" s="119"/>
      <x:c r="K181" s="119"/>
      <x:c r="L181" s="119"/>
      <x:c r="M181" s="119"/>
      <x:c r="N181" s="119"/>
      <x:c r="O181" s="119"/>
      <x:c r="P181" s="119"/>
    </x:row>
    <x:row r="182">
      <x:c r="A182" s="119"/>
      <x:c r="B182" s="119"/>
      <x:c r="C182" s="119"/>
      <x:c r="D182" s="119"/>
      <x:c r="E182" s="119"/>
      <x:c r="F182" s="119"/>
      <x:c r="G182" s="119"/>
      <x:c r="H182" s="119"/>
      <x:c r="I182" s="119"/>
      <x:c r="J182" s="119"/>
      <x:c r="K182" s="119"/>
      <x:c r="L182" s="119"/>
      <x:c r="M182" s="119"/>
      <x:c r="N182" s="119"/>
      <x:c r="O182" s="119"/>
      <x:c r="P182" s="119"/>
    </x:row>
    <x:row r="183">
      <x:c r="A183" s="119"/>
      <x:c r="B183" s="119"/>
      <x:c r="C183" s="119"/>
      <x:c r="D183" s="119"/>
      <x:c r="E183" s="119"/>
      <x:c r="F183" s="119"/>
      <x:c r="G183" s="119"/>
      <x:c r="H183" s="119"/>
      <x:c r="I183" s="119"/>
      <x:c r="J183" s="119"/>
      <x:c r="K183" s="119"/>
      <x:c r="L183" s="119"/>
      <x:c r="M183" s="119"/>
      <x:c r="N183" s="119"/>
      <x:c r="O183" s="119"/>
      <x:c r="P183" s="119"/>
    </x:row>
    <x:row r="184">
      <x:c r="A184" s="119"/>
      <x:c r="B184" s="119"/>
      <x:c r="C184" s="119"/>
      <x:c r="D184" s="119"/>
      <x:c r="E184" s="119"/>
      <x:c r="F184" s="119"/>
      <x:c r="G184" s="119"/>
      <x:c r="H184" s="119"/>
      <x:c r="I184" s="119"/>
      <x:c r="J184" s="119"/>
      <x:c r="K184" s="119"/>
      <x:c r="L184" s="119"/>
      <x:c r="M184" s="119"/>
      <x:c r="N184" s="119"/>
      <x:c r="O184" s="119"/>
      <x:c r="P184" s="119"/>
    </x:row>
    <x:row r="185">
      <x:c r="A185" s="119"/>
      <x:c r="B185" s="119"/>
      <x:c r="C185" s="119"/>
      <x:c r="D185" s="119"/>
      <x:c r="E185" s="119"/>
      <x:c r="F185" s="119"/>
      <x:c r="G185" s="119"/>
      <x:c r="H185" s="119"/>
      <x:c r="I185" s="119"/>
      <x:c r="J185" s="119"/>
      <x:c r="K185" s="119"/>
      <x:c r="L185" s="119"/>
      <x:c r="M185" s="119"/>
      <x:c r="N185" s="119"/>
      <x:c r="O185" s="119"/>
      <x:c r="P185" s="119"/>
    </x:row>
    <x:row r="186">
      <x:c r="A186" s="119"/>
      <x:c r="B186" s="119"/>
      <x:c r="C186" s="119"/>
      <x:c r="D186" s="119"/>
      <x:c r="E186" s="119"/>
      <x:c r="F186" s="119"/>
      <x:c r="G186" s="119"/>
      <x:c r="H186" s="119"/>
      <x:c r="I186" s="119"/>
      <x:c r="J186" s="119"/>
      <x:c r="K186" s="119"/>
      <x:c r="L186" s="119"/>
      <x:c r="M186" s="119"/>
      <x:c r="N186" s="119"/>
      <x:c r="O186" s="119"/>
      <x:c r="P186" s="119"/>
    </x:row>
    <x:row r="187">
      <x:c r="A187" s="119"/>
      <x:c r="B187" s="119"/>
      <x:c r="C187" s="119"/>
      <x:c r="D187" s="119"/>
      <x:c r="E187" s="119"/>
      <x:c r="F187" s="119"/>
      <x:c r="G187" s="119"/>
      <x:c r="H187" s="119"/>
      <x:c r="I187" s="119"/>
      <x:c r="J187" s="119"/>
      <x:c r="K187" s="119"/>
      <x:c r="L187" s="119"/>
      <x:c r="M187" s="119"/>
      <x:c r="N187" s="119"/>
      <x:c r="O187" s="119"/>
      <x:c r="P187" s="119"/>
    </x:row>
    <x:row r="188">
      <x:c r="A188" s="119"/>
      <x:c r="B188" s="119"/>
      <x:c r="C188" s="119"/>
      <x:c r="D188" s="119"/>
      <x:c r="E188" s="119"/>
      <x:c r="F188" s="119"/>
      <x:c r="G188" s="119"/>
      <x:c r="H188" s="119"/>
      <x:c r="I188" s="119"/>
      <x:c r="J188" s="119"/>
      <x:c r="K188" s="119"/>
      <x:c r="L188" s="119"/>
      <x:c r="M188" s="119"/>
      <x:c r="N188" s="119"/>
      <x:c r="O188" s="119"/>
      <x:c r="P188" s="119"/>
    </x:row>
    <x:row r="189">
      <x:c r="A189" s="119"/>
      <x:c r="B189" s="119"/>
      <x:c r="C189" s="119"/>
      <x:c r="D189" s="119"/>
      <x:c r="E189" s="119"/>
      <x:c r="F189" s="119"/>
      <x:c r="G189" s="119"/>
      <x:c r="H189" s="119"/>
      <x:c r="I189" s="119"/>
      <x:c r="J189" s="119"/>
      <x:c r="K189" s="119"/>
      <x:c r="L189" s="119"/>
      <x:c r="M189" s="119"/>
      <x:c r="N189" s="119"/>
      <x:c r="O189" s="119"/>
      <x:c r="P189" s="119"/>
    </x:row>
    <x:row r="190">
      <x:c r="A190" s="119"/>
      <x:c r="B190" s="119"/>
      <x:c r="C190" s="119"/>
      <x:c r="D190" s="119"/>
      <x:c r="E190" s="119"/>
      <x:c r="F190" s="119"/>
      <x:c r="G190" s="119"/>
      <x:c r="H190" s="119"/>
      <x:c r="I190" s="119"/>
      <x:c r="J190" s="119"/>
      <x:c r="K190" s="119"/>
      <x:c r="L190" s="119"/>
      <x:c r="M190" s="119"/>
      <x:c r="N190" s="119"/>
      <x:c r="O190" s="119"/>
      <x:c r="P190" s="119"/>
    </x:row>
    <x:row r="191">
      <x:c r="A191" s="119"/>
      <x:c r="B191" s="119"/>
      <x:c r="C191" s="119"/>
      <x:c r="D191" s="119"/>
      <x:c r="E191" s="119"/>
      <x:c r="F191" s="119"/>
      <x:c r="G191" s="119"/>
      <x:c r="H191" s="119"/>
      <x:c r="I191" s="119"/>
      <x:c r="J191" s="119"/>
      <x:c r="K191" s="119"/>
      <x:c r="L191" s="119"/>
      <x:c r="M191" s="119"/>
      <x:c r="N191" s="119"/>
      <x:c r="O191" s="119"/>
      <x:c r="P191" s="119"/>
    </x:row>
    <x:row r="192">
      <x:c r="A192" s="119"/>
      <x:c r="B192" s="119"/>
      <x:c r="C192" s="119"/>
      <x:c r="D192" s="119"/>
      <x:c r="E192" s="119"/>
      <x:c r="F192" s="119"/>
      <x:c r="G192" s="119"/>
      <x:c r="H192" s="119"/>
      <x:c r="I192" s="119"/>
      <x:c r="J192" s="119"/>
      <x:c r="K192" s="119"/>
      <x:c r="L192" s="119"/>
      <x:c r="M192" s="119"/>
      <x:c r="N192" s="119"/>
      <x:c r="O192" s="119"/>
      <x:c r="P192" s="119"/>
    </x:row>
    <x:row r="193">
      <x:c r="A193" s="119"/>
      <x:c r="B193" s="119"/>
      <x:c r="C193" s="119"/>
      <x:c r="D193" s="119"/>
      <x:c r="E193" s="119"/>
      <x:c r="F193" s="119"/>
      <x:c r="G193" s="119"/>
      <x:c r="H193" s="119"/>
      <x:c r="I193" s="119"/>
      <x:c r="J193" s="119"/>
      <x:c r="K193" s="119"/>
      <x:c r="L193" s="119"/>
      <x:c r="M193" s="119"/>
      <x:c r="N193" s="119"/>
      <x:c r="O193" s="119"/>
      <x:c r="P193" s="119"/>
    </x:row>
    <x:row r="194">
      <x:c r="A194" s="119"/>
      <x:c r="B194" s="119"/>
      <x:c r="C194" s="119"/>
      <x:c r="D194" s="119"/>
      <x:c r="E194" s="119"/>
      <x:c r="F194" s="119"/>
      <x:c r="G194" s="119"/>
      <x:c r="H194" s="119"/>
      <x:c r="I194" s="119"/>
      <x:c r="J194" s="119"/>
      <x:c r="K194" s="119"/>
      <x:c r="L194" s="119"/>
      <x:c r="M194" s="119"/>
      <x:c r="N194" s="119"/>
      <x:c r="O194" s="119"/>
      <x:c r="P194" s="119"/>
    </x:row>
    <x:row r="195">
      <x:c r="A195" s="119"/>
      <x:c r="B195" s="119"/>
      <x:c r="C195" s="119"/>
      <x:c r="D195" s="119"/>
      <x:c r="E195" s="119"/>
      <x:c r="F195" s="119"/>
      <x:c r="G195" s="119"/>
      <x:c r="H195" s="119"/>
      <x:c r="I195" s="119"/>
      <x:c r="J195" s="119"/>
      <x:c r="K195" s="119"/>
      <x:c r="L195" s="119"/>
      <x:c r="M195" s="119"/>
      <x:c r="N195" s="119"/>
      <x:c r="O195" s="119"/>
      <x:c r="P195" s="119"/>
    </x:row>
    <x:row r="196">
      <x:c r="A196" s="119"/>
      <x:c r="B196" s="119"/>
      <x:c r="C196" s="119"/>
      <x:c r="D196" s="119"/>
      <x:c r="E196" s="119"/>
      <x:c r="F196" s="119"/>
      <x:c r="G196" s="119"/>
      <x:c r="H196" s="119"/>
      <x:c r="I196" s="119"/>
      <x:c r="J196" s="119"/>
      <x:c r="K196" s="119"/>
      <x:c r="L196" s="119"/>
      <x:c r="M196" s="119"/>
      <x:c r="N196" s="119"/>
      <x:c r="O196" s="119"/>
      <x:c r="P196" s="119"/>
    </x:row>
    <x:row r="197">
      <x:c r="A197" s="119"/>
      <x:c r="B197" s="119"/>
      <x:c r="C197" s="119"/>
      <x:c r="D197" s="119"/>
      <x:c r="E197" s="119"/>
      <x:c r="F197" s="119"/>
      <x:c r="G197" s="119"/>
      <x:c r="H197" s="119"/>
      <x:c r="I197" s="119"/>
      <x:c r="J197" s="119"/>
      <x:c r="K197" s="119"/>
      <x:c r="L197" s="119"/>
      <x:c r="M197" s="119"/>
      <x:c r="N197" s="119"/>
      <x:c r="O197" s="119"/>
      <x:c r="P197" s="119"/>
    </x:row>
    <x:row r="198">
      <x:c r="A198" s="119"/>
      <x:c r="B198" s="119"/>
      <x:c r="C198" s="119"/>
      <x:c r="D198" s="119"/>
      <x:c r="E198" s="119"/>
      <x:c r="F198" s="119"/>
      <x:c r="G198" s="119"/>
      <x:c r="H198" s="119"/>
      <x:c r="I198" s="119"/>
      <x:c r="J198" s="119"/>
      <x:c r="K198" s="119"/>
      <x:c r="L198" s="119"/>
      <x:c r="M198" s="119"/>
      <x:c r="N198" s="119"/>
      <x:c r="O198" s="119"/>
      <x:c r="P198" s="119"/>
    </x:row>
    <x:row r="199">
      <x:c r="A199" s="119"/>
      <x:c r="B199" s="119"/>
      <x:c r="C199" s="119"/>
      <x:c r="D199" s="119"/>
      <x:c r="E199" s="119"/>
      <x:c r="F199" s="119"/>
      <x:c r="G199" s="119"/>
      <x:c r="H199" s="119"/>
      <x:c r="I199" s="119"/>
      <x:c r="J199" s="119"/>
      <x:c r="K199" s="119"/>
      <x:c r="L199" s="119"/>
      <x:c r="M199" s="119"/>
      <x:c r="N199" s="119"/>
      <x:c r="O199" s="119"/>
      <x:c r="P199" s="119"/>
    </x:row>
    <x:row r="200">
      <x:c r="A200" s="119"/>
      <x:c r="B200" s="119"/>
      <x:c r="C200" s="119"/>
      <x:c r="D200" s="119"/>
      <x:c r="E200" s="119"/>
      <x:c r="F200" s="119"/>
      <x:c r="G200" s="119"/>
      <x:c r="H200" s="119"/>
      <x:c r="I200" s="119"/>
      <x:c r="J200" s="119"/>
      <x:c r="K200" s="119"/>
      <x:c r="L200" s="119"/>
      <x:c r="M200" s="119"/>
      <x:c r="N200" s="119"/>
      <x:c r="O200" s="119"/>
      <x:c r="P200" s="119"/>
    </x:row>
    <x:row r="201">
      <x:c r="A201" s="119"/>
      <x:c r="B201" s="119"/>
      <x:c r="C201" s="119"/>
      <x:c r="D201" s="119"/>
      <x:c r="E201" s="119"/>
      <x:c r="F201" s="119"/>
      <x:c r="G201" s="119"/>
      <x:c r="H201" s="119"/>
      <x:c r="I201" s="119"/>
      <x:c r="J201" s="119"/>
      <x:c r="K201" s="119"/>
      <x:c r="L201" s="119"/>
      <x:c r="M201" s="119"/>
      <x:c r="N201" s="119"/>
      <x:c r="O201" s="119"/>
      <x:c r="P201" s="119"/>
    </x:row>
    <x:row r="202">
      <x:c r="A202" s="119"/>
      <x:c r="B202" s="119"/>
      <x:c r="C202" s="119"/>
      <x:c r="D202" s="119"/>
      <x:c r="E202" s="119"/>
      <x:c r="F202" s="119"/>
      <x:c r="G202" s="119"/>
      <x:c r="H202" s="119"/>
      <x:c r="I202" s="119"/>
      <x:c r="J202" s="119"/>
      <x:c r="K202" s="119"/>
      <x:c r="L202" s="119"/>
      <x:c r="M202" s="119"/>
      <x:c r="N202" s="119"/>
      <x:c r="O202" s="119"/>
      <x:c r="P202" s="119"/>
    </x:row>
    <x:row r="203">
      <x:c r="A203" s="119"/>
      <x:c r="B203" s="119"/>
      <x:c r="C203" s="119"/>
      <x:c r="D203" s="119"/>
      <x:c r="E203" s="119"/>
      <x:c r="F203" s="119"/>
      <x:c r="G203" s="119"/>
      <x:c r="H203" s="119"/>
      <x:c r="I203" s="119"/>
      <x:c r="J203" s="119"/>
      <x:c r="K203" s="119"/>
      <x:c r="L203" s="119"/>
      <x:c r="M203" s="119"/>
      <x:c r="N203" s="119"/>
      <x:c r="O203" s="119"/>
      <x:c r="P203" s="119"/>
    </x:row>
    <x:row r="204">
      <x:c r="A204" s="119"/>
      <x:c r="B204" s="119"/>
      <x:c r="C204" s="119"/>
      <x:c r="D204" s="119"/>
      <x:c r="E204" s="119"/>
      <x:c r="F204" s="119"/>
      <x:c r="G204" s="119"/>
      <x:c r="H204" s="119"/>
      <x:c r="I204" s="119"/>
      <x:c r="J204" s="119"/>
      <x:c r="K204" s="119"/>
      <x:c r="L204" s="119"/>
      <x:c r="M204" s="119"/>
      <x:c r="N204" s="119"/>
      <x:c r="O204" s="119"/>
      <x:c r="P204" s="119"/>
    </x:row>
    <x:row r="205">
      <x:c r="A205" s="119"/>
      <x:c r="B205" s="119"/>
      <x:c r="C205" s="119"/>
      <x:c r="D205" s="119"/>
      <x:c r="E205" s="119"/>
      <x:c r="F205" s="119"/>
      <x:c r="G205" s="119"/>
      <x:c r="H205" s="119"/>
      <x:c r="I205" s="119"/>
      <x:c r="J205" s="119"/>
      <x:c r="K205" s="119"/>
      <x:c r="L205" s="119"/>
      <x:c r="M205" s="119"/>
      <x:c r="N205" s="119"/>
      <x:c r="O205" s="119"/>
      <x:c r="P205" s="119"/>
    </x:row>
    <x:row r="206">
      <x:c r="A206" s="119"/>
      <x:c r="B206" s="119"/>
      <x:c r="C206" s="119"/>
      <x:c r="D206" s="119"/>
      <x:c r="E206" s="119"/>
      <x:c r="F206" s="119"/>
      <x:c r="G206" s="119"/>
      <x:c r="H206" s="119"/>
      <x:c r="I206" s="119"/>
      <x:c r="J206" s="119"/>
      <x:c r="K206" s="119"/>
      <x:c r="L206" s="119"/>
      <x:c r="M206" s="119"/>
      <x:c r="N206" s="119"/>
      <x:c r="O206" s="119"/>
      <x:c r="P206" s="119"/>
    </x:row>
    <x:row r="207">
      <x:c r="A207" s="119"/>
      <x:c r="B207" s="119"/>
      <x:c r="C207" s="119"/>
      <x:c r="D207" s="119"/>
      <x:c r="E207" s="119"/>
      <x:c r="F207" s="119"/>
      <x:c r="G207" s="119"/>
      <x:c r="H207" s="119"/>
      <x:c r="I207" s="119"/>
      <x:c r="J207" s="119"/>
      <x:c r="K207" s="119"/>
      <x:c r="L207" s="119"/>
      <x:c r="M207" s="119"/>
      <x:c r="N207" s="119"/>
      <x:c r="O207" s="119"/>
      <x:c r="P207" s="119"/>
    </x:row>
    <x:row r="208">
      <x:c r="A208" s="119"/>
      <x:c r="B208" s="119"/>
      <x:c r="C208" s="119"/>
      <x:c r="D208" s="119"/>
      <x:c r="E208" s="119"/>
      <x:c r="F208" s="119"/>
      <x:c r="G208" s="119"/>
      <x:c r="H208" s="119"/>
      <x:c r="I208" s="119"/>
      <x:c r="J208" s="119"/>
      <x:c r="K208" s="119"/>
      <x:c r="L208" s="119"/>
      <x:c r="M208" s="119"/>
      <x:c r="N208" s="119"/>
      <x:c r="O208" s="119"/>
      <x:c r="P208" s="119"/>
    </x:row>
    <x:row r="209">
      <x:c r="A209" s="119"/>
      <x:c r="B209" s="119"/>
      <x:c r="C209" s="119"/>
      <x:c r="D209" s="119"/>
      <x:c r="E209" s="119"/>
      <x:c r="F209" s="119"/>
      <x:c r="G209" s="119"/>
      <x:c r="H209" s="119"/>
      <x:c r="I209" s="119"/>
      <x:c r="J209" s="119"/>
      <x:c r="K209" s="119"/>
      <x:c r="L209" s="119"/>
      <x:c r="M209" s="119"/>
      <x:c r="N209" s="119"/>
      <x:c r="O209" s="119"/>
      <x:c r="P209" s="119"/>
    </x:row>
    <x:row r="210">
      <x:c r="A210" s="119"/>
      <x:c r="B210" s="119"/>
      <x:c r="C210" s="119"/>
      <x:c r="D210" s="119"/>
      <x:c r="E210" s="119"/>
      <x:c r="F210" s="119"/>
      <x:c r="G210" s="119"/>
      <x:c r="H210" s="119"/>
      <x:c r="I210" s="119"/>
      <x:c r="J210" s="119"/>
      <x:c r="K210" s="119"/>
      <x:c r="L210" s="119"/>
      <x:c r="M210" s="119"/>
      <x:c r="N210" s="119"/>
      <x:c r="O210" s="119"/>
      <x:c r="P210" s="119"/>
    </x:row>
    <x:row r="211">
      <x:c r="A211" s="119"/>
      <x:c r="B211" s="119"/>
      <x:c r="C211" s="119"/>
      <x:c r="D211" s="119"/>
      <x:c r="E211" s="119"/>
      <x:c r="F211" s="119"/>
      <x:c r="G211" s="119"/>
      <x:c r="H211" s="119"/>
      <x:c r="I211" s="119"/>
      <x:c r="J211" s="119"/>
      <x:c r="K211" s="119"/>
      <x:c r="L211" s="119"/>
      <x:c r="M211" s="119"/>
      <x:c r="N211" s="119"/>
      <x:c r="O211" s="119"/>
      <x:c r="P211" s="119"/>
    </x:row>
    <x:row r="212">
      <x:c r="A212" s="119"/>
      <x:c r="B212" s="119"/>
      <x:c r="C212" s="119"/>
      <x:c r="D212" s="119"/>
      <x:c r="E212" s="119"/>
      <x:c r="F212" s="119"/>
      <x:c r="G212" s="119"/>
      <x:c r="H212" s="119"/>
      <x:c r="I212" s="119"/>
      <x:c r="J212" s="119"/>
      <x:c r="K212" s="119"/>
      <x:c r="L212" s="119"/>
      <x:c r="M212" s="119"/>
      <x:c r="N212" s="119"/>
      <x:c r="O212" s="119"/>
      <x:c r="P212" s="119"/>
    </x:row>
    <x:row r="213">
      <x:c r="A213" s="119"/>
      <x:c r="B213" s="119"/>
      <x:c r="C213" s="119"/>
      <x:c r="D213" s="119"/>
      <x:c r="E213" s="119"/>
      <x:c r="F213" s="119"/>
      <x:c r="G213" s="119"/>
      <x:c r="H213" s="119"/>
      <x:c r="I213" s="119"/>
      <x:c r="J213" s="119"/>
      <x:c r="K213" s="119"/>
      <x:c r="L213" s="119"/>
      <x:c r="M213" s="119"/>
      <x:c r="N213" s="119"/>
      <x:c r="O213" s="119"/>
      <x:c r="P213" s="119"/>
    </x:row>
    <x:row r="214">
      <x:c r="A214" s="119"/>
      <x:c r="B214" s="119"/>
      <x:c r="C214" s="119"/>
      <x:c r="D214" s="119"/>
      <x:c r="E214" s="119"/>
      <x:c r="F214" s="119"/>
      <x:c r="G214" s="119"/>
      <x:c r="H214" s="119"/>
      <x:c r="I214" s="119"/>
      <x:c r="J214" s="119"/>
      <x:c r="K214" s="119"/>
      <x:c r="L214" s="119"/>
      <x:c r="M214" s="119"/>
      <x:c r="N214" s="119"/>
      <x:c r="O214" s="119"/>
      <x:c r="P214" s="119"/>
    </x:row>
    <x:row r="215">
      <x:c r="A215" s="119"/>
      <x:c r="B215" s="119"/>
      <x:c r="C215" s="119"/>
      <x:c r="D215" s="119"/>
      <x:c r="E215" s="119"/>
      <x:c r="F215" s="119"/>
      <x:c r="G215" s="119"/>
      <x:c r="H215" s="119"/>
      <x:c r="I215" s="119"/>
      <x:c r="J215" s="119"/>
      <x:c r="K215" s="119"/>
      <x:c r="L215" s="119"/>
      <x:c r="M215" s="119"/>
      <x:c r="N215" s="119"/>
      <x:c r="O215" s="119"/>
      <x:c r="P215" s="119"/>
    </x:row>
    <x:row r="216">
      <x:c r="A216" s="119"/>
      <x:c r="B216" s="119"/>
      <x:c r="C216" s="119"/>
      <x:c r="D216" s="119"/>
      <x:c r="E216" s="119"/>
      <x:c r="F216" s="119"/>
      <x:c r="G216" s="119"/>
      <x:c r="H216" s="119"/>
      <x:c r="I216" s="119"/>
      <x:c r="J216" s="119"/>
      <x:c r="K216" s="119"/>
      <x:c r="L216" s="119"/>
      <x:c r="M216" s="119"/>
      <x:c r="N216" s="119"/>
      <x:c r="O216" s="119"/>
      <x:c r="P216" s="119"/>
    </x:row>
    <x:row r="217">
      <x:c r="A217" s="119"/>
      <x:c r="B217" s="119"/>
      <x:c r="C217" s="119"/>
      <x:c r="D217" s="119"/>
      <x:c r="E217" s="119"/>
      <x:c r="F217" s="119"/>
      <x:c r="G217" s="119"/>
      <x:c r="H217" s="119"/>
      <x:c r="I217" s="119"/>
      <x:c r="J217" s="119"/>
      <x:c r="K217" s="119"/>
      <x:c r="L217" s="119"/>
      <x:c r="M217" s="119"/>
      <x:c r="N217" s="119"/>
      <x:c r="O217" s="119"/>
      <x:c r="P217" s="119"/>
    </x:row>
    <x:row r="218">
      <x:c r="A218" s="119"/>
      <x:c r="B218" s="119"/>
      <x:c r="C218" s="119"/>
      <x:c r="D218" s="119"/>
      <x:c r="E218" s="119"/>
      <x:c r="F218" s="119"/>
      <x:c r="G218" s="119"/>
      <x:c r="H218" s="119"/>
      <x:c r="I218" s="119"/>
      <x:c r="J218" s="119"/>
      <x:c r="K218" s="119"/>
      <x:c r="L218" s="119"/>
      <x:c r="M218" s="119"/>
      <x:c r="N218" s="119"/>
      <x:c r="O218" s="119"/>
      <x:c r="P218" s="119"/>
    </x:row>
    <x:row r="219">
      <x:c r="A219" s="119"/>
      <x:c r="B219" s="119"/>
      <x:c r="C219" s="119"/>
      <x:c r="D219" s="119"/>
      <x:c r="E219" s="119"/>
      <x:c r="F219" s="119"/>
      <x:c r="G219" s="119"/>
      <x:c r="H219" s="119"/>
      <x:c r="I219" s="119"/>
      <x:c r="J219" s="119"/>
      <x:c r="K219" s="119"/>
      <x:c r="L219" s="119"/>
      <x:c r="M219" s="119"/>
      <x:c r="N219" s="119"/>
      <x:c r="O219" s="119"/>
      <x:c r="P219" s="119"/>
    </x:row>
    <x:row r="220">
      <x:c r="A220" s="119"/>
      <x:c r="B220" s="119"/>
      <x:c r="C220" s="119"/>
      <x:c r="D220" s="119"/>
      <x:c r="E220" s="119"/>
      <x:c r="F220" s="119"/>
      <x:c r="G220" s="119"/>
      <x:c r="H220" s="119"/>
      <x:c r="I220" s="119"/>
      <x:c r="J220" s="119"/>
      <x:c r="K220" s="119"/>
      <x:c r="L220" s="119"/>
      <x:c r="M220" s="119"/>
      <x:c r="N220" s="119"/>
      <x:c r="O220" s="119"/>
      <x:c r="P220" s="119"/>
    </x:row>
    <x:row r="221">
      <x:c r="A221" s="119"/>
      <x:c r="B221" s="119"/>
      <x:c r="C221" s="119"/>
      <x:c r="D221" s="119"/>
      <x:c r="E221" s="119"/>
      <x:c r="F221" s="119"/>
      <x:c r="G221" s="119"/>
      <x:c r="H221" s="119"/>
      <x:c r="I221" s="119"/>
      <x:c r="J221" s="119"/>
      <x:c r="K221" s="119"/>
      <x:c r="L221" s="119"/>
      <x:c r="M221" s="119"/>
      <x:c r="N221" s="119"/>
      <x:c r="O221" s="119"/>
      <x:c r="P221" s="119"/>
    </x:row>
    <x:row r="222">
      <x:c r="A222" s="119"/>
      <x:c r="B222" s="119"/>
      <x:c r="C222" s="119"/>
      <x:c r="D222" s="119"/>
      <x:c r="E222" s="119"/>
      <x:c r="F222" s="119"/>
      <x:c r="G222" s="119"/>
      <x:c r="H222" s="119"/>
      <x:c r="I222" s="119"/>
      <x:c r="J222" s="119"/>
      <x:c r="K222" s="119"/>
      <x:c r="L222" s="119"/>
      <x:c r="M222" s="119"/>
      <x:c r="N222" s="119"/>
      <x:c r="O222" s="119"/>
      <x:c r="P222" s="119"/>
    </x:row>
    <x:row r="223">
      <x:c r="A223" s="119"/>
      <x:c r="B223" s="119"/>
      <x:c r="C223" s="119"/>
      <x:c r="D223" s="119"/>
      <x:c r="E223" s="119"/>
      <x:c r="F223" s="119"/>
      <x:c r="G223" s="119"/>
      <x:c r="H223" s="119"/>
      <x:c r="I223" s="119"/>
      <x:c r="J223" s="119"/>
      <x:c r="K223" s="119"/>
      <x:c r="L223" s="119"/>
      <x:c r="M223" s="119"/>
      <x:c r="N223" s="119"/>
      <x:c r="O223" s="119"/>
      <x:c r="P223" s="119"/>
    </x:row>
    <x:row r="224">
      <x:c r="A224" s="119"/>
      <x:c r="B224" s="119"/>
      <x:c r="C224" s="119"/>
      <x:c r="D224" s="119"/>
      <x:c r="E224" s="119"/>
      <x:c r="F224" s="119"/>
      <x:c r="G224" s="119"/>
      <x:c r="H224" s="119"/>
      <x:c r="I224" s="119"/>
      <x:c r="J224" s="119"/>
      <x:c r="K224" s="119"/>
      <x:c r="L224" s="119"/>
      <x:c r="M224" s="119"/>
      <x:c r="N224" s="119"/>
      <x:c r="O224" s="119"/>
      <x:c r="P224" s="119"/>
    </x:row>
    <x:row r="225">
      <x:c r="A225" s="119"/>
      <x:c r="B225" s="119"/>
      <x:c r="C225" s="119"/>
      <x:c r="D225" s="119"/>
      <x:c r="E225" s="119"/>
      <x:c r="F225" s="119"/>
      <x:c r="G225" s="119"/>
      <x:c r="H225" s="119"/>
      <x:c r="I225" s="119"/>
      <x:c r="J225" s="119"/>
      <x:c r="K225" s="119"/>
      <x:c r="L225" s="119"/>
      <x:c r="M225" s="119"/>
      <x:c r="N225" s="119"/>
      <x:c r="O225" s="119"/>
      <x:c r="P225" s="119"/>
    </x:row>
    <x:row r="226">
      <x:c r="A226" s="119"/>
      <x:c r="B226" s="119"/>
      <x:c r="C226" s="119"/>
      <x:c r="D226" s="119"/>
      <x:c r="E226" s="119"/>
      <x:c r="F226" s="119"/>
      <x:c r="G226" s="119"/>
      <x:c r="H226" s="119"/>
      <x:c r="I226" s="119"/>
      <x:c r="J226" s="119"/>
      <x:c r="K226" s="119"/>
      <x:c r="L226" s="119"/>
      <x:c r="M226" s="119"/>
      <x:c r="N226" s="119"/>
      <x:c r="O226" s="119"/>
      <x:c r="P226" s="119"/>
    </x:row>
    <x:row r="227">
      <x:c r="A227" s="119"/>
      <x:c r="B227" s="119"/>
      <x:c r="C227" s="119"/>
      <x:c r="D227" s="119"/>
      <x:c r="E227" s="119"/>
      <x:c r="F227" s="119"/>
      <x:c r="G227" s="119"/>
      <x:c r="H227" s="119"/>
      <x:c r="I227" s="119"/>
      <x:c r="J227" s="119"/>
      <x:c r="K227" s="119"/>
      <x:c r="L227" s="119"/>
      <x:c r="M227" s="119"/>
      <x:c r="N227" s="119"/>
      <x:c r="O227" s="119"/>
      <x:c r="P227" s="119"/>
    </x:row>
    <x:row r="228">
      <x:c r="A228" s="119"/>
      <x:c r="B228" s="119"/>
      <x:c r="C228" s="119"/>
      <x:c r="D228" s="119"/>
      <x:c r="E228" s="119"/>
      <x:c r="F228" s="119"/>
      <x:c r="G228" s="119"/>
      <x:c r="H228" s="119"/>
      <x:c r="I228" s="119"/>
      <x:c r="J228" s="119"/>
      <x:c r="K228" s="119"/>
      <x:c r="L228" s="119"/>
      <x:c r="M228" s="119"/>
      <x:c r="N228" s="119"/>
      <x:c r="O228" s="119"/>
      <x:c r="P228" s="119"/>
    </x:row>
    <x:row r="229">
      <x:c r="A229" s="119"/>
      <x:c r="B229" s="119"/>
      <x:c r="C229" s="119"/>
      <x:c r="D229" s="119"/>
      <x:c r="E229" s="119"/>
      <x:c r="F229" s="119"/>
      <x:c r="G229" s="119"/>
      <x:c r="H229" s="119"/>
      <x:c r="I229" s="119"/>
      <x:c r="J229" s="119"/>
      <x:c r="K229" s="119"/>
      <x:c r="L229" s="119"/>
      <x:c r="M229" s="119"/>
      <x:c r="N229" s="119"/>
      <x:c r="O229" s="119"/>
      <x:c r="P229" s="119"/>
    </x:row>
    <x:row r="230">
      <x:c r="A230" s="119"/>
      <x:c r="B230" s="119"/>
      <x:c r="C230" s="119"/>
      <x:c r="D230" s="119"/>
      <x:c r="E230" s="119"/>
      <x:c r="F230" s="119"/>
      <x:c r="G230" s="119"/>
      <x:c r="H230" s="119"/>
      <x:c r="I230" s="119"/>
      <x:c r="J230" s="119"/>
      <x:c r="K230" s="119"/>
      <x:c r="L230" s="119"/>
      <x:c r="M230" s="119"/>
      <x:c r="N230" s="119"/>
      <x:c r="O230" s="119"/>
      <x:c r="P230" s="119"/>
    </x:row>
    <x:row r="231">
      <x:c r="A231" s="119"/>
      <x:c r="B231" s="119"/>
      <x:c r="C231" s="119"/>
      <x:c r="D231" s="119"/>
      <x:c r="E231" s="119"/>
      <x:c r="F231" s="119"/>
      <x:c r="G231" s="119"/>
      <x:c r="H231" s="119"/>
      <x:c r="I231" s="119"/>
      <x:c r="J231" s="119"/>
      <x:c r="K231" s="119"/>
      <x:c r="L231" s="119"/>
      <x:c r="M231" s="119"/>
      <x:c r="N231" s="119"/>
      <x:c r="O231" s="119"/>
      <x:c r="P231" s="119"/>
    </x:row>
    <x:row r="232">
      <x:c r="A232" s="119"/>
      <x:c r="B232" s="119"/>
      <x:c r="C232" s="119"/>
      <x:c r="D232" s="119"/>
      <x:c r="E232" s="119"/>
      <x:c r="F232" s="119"/>
      <x:c r="G232" s="119"/>
      <x:c r="H232" s="119"/>
      <x:c r="I232" s="119"/>
      <x:c r="J232" s="119"/>
      <x:c r="K232" s="119"/>
      <x:c r="L232" s="119"/>
      <x:c r="M232" s="119"/>
      <x:c r="N232" s="119"/>
      <x:c r="O232" s="119"/>
      <x:c r="P232" s="119"/>
    </x:row>
    <x:row r="233">
      <x:c r="A233" s="119"/>
      <x:c r="B233" s="119"/>
      <x:c r="C233" s="119"/>
      <x:c r="D233" s="119"/>
      <x:c r="E233" s="119"/>
      <x:c r="F233" s="119"/>
      <x:c r="G233" s="119"/>
      <x:c r="H233" s="119"/>
      <x:c r="I233" s="119"/>
      <x:c r="J233" s="119"/>
      <x:c r="K233" s="119"/>
      <x:c r="L233" s="119"/>
      <x:c r="M233" s="119"/>
      <x:c r="N233" s="119"/>
      <x:c r="O233" s="119"/>
      <x:c r="P233" s="119"/>
    </x:row>
    <x:row r="234">
      <x:c r="A234" s="119"/>
      <x:c r="B234" s="119"/>
      <x:c r="C234" s="119"/>
      <x:c r="D234" s="119"/>
      <x:c r="E234" s="119"/>
      <x:c r="F234" s="119"/>
      <x:c r="G234" s="119"/>
      <x:c r="H234" s="119"/>
      <x:c r="I234" s="119"/>
      <x:c r="J234" s="119"/>
      <x:c r="K234" s="119"/>
      <x:c r="L234" s="119"/>
      <x:c r="M234" s="119"/>
      <x:c r="N234" s="119"/>
      <x:c r="O234" s="119"/>
      <x:c r="P234" s="119"/>
    </x:row>
    <x:row r="235">
      <x:c r="A235" s="119"/>
      <x:c r="B235" s="119"/>
      <x:c r="C235" s="119"/>
      <x:c r="D235" s="119"/>
      <x:c r="E235" s="119"/>
      <x:c r="F235" s="119"/>
      <x:c r="G235" s="119"/>
      <x:c r="H235" s="119"/>
      <x:c r="I235" s="119"/>
      <x:c r="J235" s="119"/>
      <x:c r="K235" s="119"/>
      <x:c r="L235" s="119"/>
      <x:c r="M235" s="119"/>
      <x:c r="N235" s="119"/>
      <x:c r="O235" s="119"/>
      <x:c r="P235" s="119"/>
    </x:row>
    <x:row r="236">
      <x:c r="A236" s="119"/>
      <x:c r="B236" s="119"/>
      <x:c r="C236" s="119"/>
      <x:c r="D236" s="119"/>
      <x:c r="E236" s="119"/>
      <x:c r="F236" s="119"/>
      <x:c r="G236" s="119"/>
      <x:c r="H236" s="119"/>
      <x:c r="I236" s="119"/>
      <x:c r="J236" s="119"/>
      <x:c r="K236" s="119"/>
      <x:c r="L236" s="119"/>
      <x:c r="M236" s="119"/>
      <x:c r="N236" s="119"/>
      <x:c r="O236" s="119"/>
      <x:c r="P236" s="119"/>
    </x:row>
    <x:row r="237">
      <x:c r="A237" s="119"/>
      <x:c r="B237" s="119"/>
      <x:c r="C237" s="119"/>
      <x:c r="D237" s="119"/>
      <x:c r="E237" s="119"/>
      <x:c r="F237" s="119"/>
      <x:c r="G237" s="119"/>
      <x:c r="H237" s="119"/>
      <x:c r="I237" s="119"/>
      <x:c r="J237" s="119"/>
      <x:c r="K237" s="119"/>
      <x:c r="L237" s="119"/>
      <x:c r="M237" s="119"/>
      <x:c r="N237" s="119"/>
      <x:c r="O237" s="119"/>
      <x:c r="P237" s="119"/>
    </x:row>
    <x:row r="238">
      <x:c r="A238" s="119"/>
      <x:c r="B238" s="119"/>
      <x:c r="C238" s="119"/>
      <x:c r="D238" s="119"/>
      <x:c r="E238" s="119"/>
      <x:c r="F238" s="119"/>
      <x:c r="G238" s="119"/>
      <x:c r="H238" s="119"/>
      <x:c r="I238" s="119"/>
      <x:c r="J238" s="119"/>
      <x:c r="K238" s="119"/>
      <x:c r="L238" s="119"/>
      <x:c r="M238" s="119"/>
      <x:c r="N238" s="119"/>
      <x:c r="O238" s="119"/>
      <x:c r="P238" s="119"/>
    </x:row>
    <x:row r="239">
      <x:c r="A239" s="119"/>
      <x:c r="B239" s="119"/>
      <x:c r="C239" s="119"/>
      <x:c r="D239" s="119"/>
      <x:c r="E239" s="119"/>
      <x:c r="F239" s="119"/>
      <x:c r="G239" s="119"/>
      <x:c r="H239" s="119"/>
      <x:c r="I239" s="119"/>
      <x:c r="J239" s="119"/>
      <x:c r="K239" s="119"/>
      <x:c r="L239" s="119"/>
      <x:c r="M239" s="119"/>
      <x:c r="N239" s="119"/>
      <x:c r="O239" s="119"/>
      <x:c r="P239" s="119"/>
    </x:row>
    <x:row r="240">
      <x:c r="A240" s="119"/>
      <x:c r="B240" s="119"/>
      <x:c r="C240" s="119"/>
      <x:c r="D240" s="119"/>
      <x:c r="E240" s="119"/>
      <x:c r="F240" s="119"/>
      <x:c r="G240" s="119"/>
      <x:c r="H240" s="119"/>
      <x:c r="I240" s="119"/>
      <x:c r="J240" s="119"/>
      <x:c r="K240" s="119"/>
      <x:c r="L240" s="119"/>
      <x:c r="M240" s="119"/>
      <x:c r="N240" s="119"/>
      <x:c r="O240" s="119"/>
      <x:c r="P240" s="119"/>
    </x:row>
    <x:row r="241">
      <x:c r="A241" s="119"/>
      <x:c r="B241" s="119"/>
      <x:c r="C241" s="119"/>
      <x:c r="D241" s="119"/>
      <x:c r="E241" s="119"/>
      <x:c r="F241" s="119"/>
      <x:c r="G241" s="119"/>
      <x:c r="H241" s="119"/>
      <x:c r="I241" s="119"/>
      <x:c r="J241" s="119"/>
      <x:c r="K241" s="119"/>
      <x:c r="L241" s="119"/>
      <x:c r="M241" s="119"/>
      <x:c r="N241" s="119"/>
      <x:c r="O241" s="119"/>
      <x:c r="P241" s="119"/>
    </x:row>
    <x:row r="242">
      <x:c r="A242" s="119"/>
      <x:c r="B242" s="119"/>
      <x:c r="C242" s="119"/>
      <x:c r="D242" s="119"/>
      <x:c r="E242" s="119"/>
      <x:c r="F242" s="119"/>
      <x:c r="G242" s="119"/>
      <x:c r="H242" s="119"/>
      <x:c r="I242" s="119"/>
      <x:c r="J242" s="119"/>
      <x:c r="K242" s="119"/>
      <x:c r="L242" s="119"/>
      <x:c r="M242" s="119"/>
      <x:c r="N242" s="119"/>
      <x:c r="O242" s="119"/>
      <x:c r="P242" s="119"/>
    </x:row>
    <x:row r="243">
      <x:c r="A243" s="119"/>
      <x:c r="B243" s="119"/>
      <x:c r="C243" s="119"/>
      <x:c r="D243" s="119"/>
      <x:c r="E243" s="119"/>
      <x:c r="F243" s="119"/>
      <x:c r="G243" s="119"/>
      <x:c r="H243" s="119"/>
      <x:c r="I243" s="119"/>
      <x:c r="J243" s="119"/>
      <x:c r="K243" s="119"/>
      <x:c r="L243" s="119"/>
      <x:c r="M243" s="119"/>
      <x:c r="N243" s="119"/>
      <x:c r="O243" s="119"/>
      <x:c r="P243" s="119"/>
    </x:row>
    <x:row r="244">
      <x:c r="A244" s="119"/>
      <x:c r="B244" s="119"/>
      <x:c r="C244" s="119"/>
      <x:c r="D244" s="119"/>
      <x:c r="E244" s="119"/>
      <x:c r="F244" s="119"/>
      <x:c r="G244" s="119"/>
      <x:c r="H244" s="119"/>
      <x:c r="I244" s="119"/>
      <x:c r="J244" s="119"/>
      <x:c r="K244" s="119"/>
      <x:c r="L244" s="119"/>
      <x:c r="M244" s="119"/>
      <x:c r="N244" s="119"/>
      <x:c r="O244" s="119"/>
      <x:c r="P244" s="119"/>
    </x:row>
    <x:row r="245">
      <x:c r="A245" s="119"/>
      <x:c r="B245" s="119"/>
      <x:c r="C245" s="119"/>
      <x:c r="D245" s="119"/>
      <x:c r="E245" s="119"/>
      <x:c r="F245" s="119"/>
      <x:c r="G245" s="119"/>
      <x:c r="H245" s="119"/>
      <x:c r="I245" s="119"/>
      <x:c r="J245" s="119"/>
      <x:c r="K245" s="119"/>
      <x:c r="L245" s="119"/>
      <x:c r="M245" s="119"/>
      <x:c r="N245" s="119"/>
      <x:c r="O245" s="119"/>
      <x:c r="P245" s="119"/>
    </x:row>
    <x:row r="246">
      <x:c r="A246" s="119"/>
      <x:c r="B246" s="119"/>
      <x:c r="C246" s="119"/>
      <x:c r="D246" s="119"/>
      <x:c r="E246" s="119"/>
      <x:c r="F246" s="119"/>
      <x:c r="G246" s="119"/>
      <x:c r="H246" s="119"/>
      <x:c r="I246" s="119"/>
      <x:c r="J246" s="119"/>
      <x:c r="K246" s="119"/>
      <x:c r="L246" s="119"/>
      <x:c r="M246" s="119"/>
      <x:c r="N246" s="119"/>
      <x:c r="O246" s="119"/>
      <x:c r="P246" s="119"/>
    </x:row>
    <x:row r="247">
      <x:c r="A247" s="119"/>
      <x:c r="B247" s="119"/>
      <x:c r="C247" s="119"/>
      <x:c r="D247" s="119"/>
      <x:c r="E247" s="119"/>
      <x:c r="F247" s="119"/>
      <x:c r="G247" s="119"/>
      <x:c r="H247" s="119"/>
      <x:c r="I247" s="119"/>
      <x:c r="J247" s="119"/>
      <x:c r="K247" s="119"/>
      <x:c r="L247" s="119"/>
      <x:c r="M247" s="119"/>
      <x:c r="N247" s="119"/>
      <x:c r="O247" s="119"/>
      <x:c r="P247" s="119"/>
    </x:row>
    <x:row r="248">
      <x:c r="A248" s="119"/>
      <x:c r="B248" s="119"/>
      <x:c r="C248" s="119"/>
      <x:c r="D248" s="119"/>
      <x:c r="E248" s="119"/>
      <x:c r="F248" s="119"/>
      <x:c r="G248" s="119"/>
      <x:c r="H248" s="119"/>
      <x:c r="I248" s="119"/>
      <x:c r="J248" s="119"/>
      <x:c r="K248" s="119"/>
      <x:c r="L248" s="119"/>
      <x:c r="M248" s="119"/>
      <x:c r="N248" s="119"/>
      <x:c r="O248" s="119"/>
      <x:c r="P248" s="119"/>
    </x:row>
    <x:row r="249">
      <x:c r="A249" s="119"/>
      <x:c r="B249" s="119"/>
      <x:c r="C249" s="119"/>
      <x:c r="D249" s="119"/>
      <x:c r="E249" s="119"/>
      <x:c r="F249" s="119"/>
      <x:c r="G249" s="119"/>
      <x:c r="H249" s="119"/>
      <x:c r="I249" s="119"/>
      <x:c r="J249" s="119"/>
      <x:c r="K249" s="119"/>
      <x:c r="L249" s="119"/>
      <x:c r="M249" s="119"/>
      <x:c r="N249" s="119"/>
      <x:c r="O249" s="119"/>
      <x:c r="P249" s="119"/>
    </x:row>
    <x:row r="250">
      <x:c r="A250" s="119"/>
      <x:c r="B250" s="119"/>
      <x:c r="C250" s="119"/>
      <x:c r="D250" s="119"/>
      <x:c r="E250" s="119"/>
      <x:c r="F250" s="119"/>
      <x:c r="G250" s="119"/>
      <x:c r="H250" s="119"/>
      <x:c r="I250" s="119"/>
      <x:c r="J250" s="119"/>
      <x:c r="K250" s="119"/>
      <x:c r="L250" s="119"/>
      <x:c r="M250" s="119"/>
      <x:c r="N250" s="119"/>
      <x:c r="O250" s="119"/>
      <x:c r="P250" s="119"/>
    </x:row>
  </x:sheetData>
  <x:mergeCells>
    <x:mergeCell ref="A1:H2"/>
    <x:mergeCell ref="A3:H3"/>
    <x:mergeCell ref="A5:B5"/>
    <x:mergeCell ref="C5:D5"/>
    <x:mergeCell ref="E5:F5"/>
    <x:mergeCell ref="G5:H5"/>
    <x:mergeCell ref="A6:B7"/>
    <x:mergeCell ref="C6:D7"/>
    <x:mergeCell ref="E6:F7"/>
    <x:mergeCell ref="G6:H7"/>
    <x:mergeCell ref="A9:B9"/>
    <x:mergeCell ref="C9:D9"/>
    <x:mergeCell ref="E9:F9"/>
    <x:mergeCell ref="G9:H9"/>
    <x:mergeCell ref="A10:B11"/>
    <x:mergeCell ref="C10:D11"/>
    <x:mergeCell ref="E10:F11"/>
    <x:mergeCell ref="G10:H11"/>
    <x:mergeCell ref="A13:H13"/>
    <x:mergeCell ref="A14:H18"/>
    <x:mergeCell ref="A28:H28"/>
  </x:mergeCells>
  <x:conditionalFormatting sqref="F21:F26">
    <x:cfRule type="expression" dxfId="28" priority="1">
      <x:formula>F21="Critical"</x:formula>
    </x:cfRule>
    <x:cfRule type="expression" dxfId="29" priority="2">
      <x:formula>F21="High"</x:formula>
    </x:cfRule>
    <x:cfRule type="expression" dxfId="30" priority="3">
      <x:formula>F21="Medium"</x:formula>
    </x:cfRule>
    <x:cfRule type="expression" dxfId="31" priority="4">
      <x:formula>F21="Low"</x:formula>
    </x:cfRule>
  </x:conditionalFormatting>
  <x:conditionalFormatting sqref="D30:D37">
    <x:cfRule type="expression" dxfId="32" priority="5">
      <x:formula>D30="Critical"</x:formula>
    </x:cfRule>
    <x:cfRule type="expression" dxfId="33" priority="6">
      <x:formula>D30="High"</x:formula>
    </x:cfRule>
    <x:cfRule type="expression" dxfId="34" priority="7">
      <x:formula>D30="Medium"</x:formula>
    </x:cfRule>
    <x:cfRule type="expression" dxfId="35" priority="8">
      <x:formula>D30="Low"</x:formula>
    </x:cfRule>
  </x:conditionalFormatting>
  <x:conditionalFormatting sqref="G30:G37">
    <x:cfRule type="expression" dxfId="36" priority="9">
      <x:formula>G30="Implemented"</x:formula>
    </x:cfRule>
    <x:cfRule type="expression" dxfId="37" priority="10">
      <x:formula>G30="In Progress"</x:formula>
    </x:cfRule>
    <x:cfRule type="expression" dxfId="38" priority="11">
      <x:formula>G30="Not Started"</x:formula>
    </x:cfRule>
    <x:cfRule type="expression" dxfId="39" priority="12">
      <x:formula>G30="Blocked"</x:formula>
    </x:cfRule>
    <x:cfRule type="expression" dxfId="40" priority="13">
      <x:formula>G30="Accepted"</x:formula>
    </x:cfRule>
  </x:conditionalFormatting>
  <x:pageMargins left="0.7" right="0.7" top="0.75" bottom="0.75" header="0.3" footer="0.3"/>
  <x:drawing xmlns:r="http://schemas.openxmlformats.org/officeDocument/2006/relationships" r:id="Rbc902dfb6ffb484a"/>
</x:worksheet>
</file>

<file path=xl/worksheets/sheet2.xml><?xml version="1.0" encoding="utf-8"?>
<x:worksheet xmlns:x="http://schemas.openxmlformats.org/spreadsheetml/2006/main">
  <x:sheetFormatPr defaultRowHeight="15"/>
  <x:cols>
    <x:col min="1" max="1" width="14" hidden="0" customWidth="1"/>
    <x:col min="2" max="2" width="11" hidden="0" customWidth="1"/>
    <x:col min="3" max="3" width="35" hidden="0" customWidth="1"/>
    <x:col min="4" max="4" width="48" hidden="0" customWidth="1"/>
    <x:col min="5" max="5" width="14" hidden="0" customWidth="1"/>
    <x:col min="6" max="6" width="14" hidden="0" customWidth="1"/>
    <x:col min="7" max="7" width="13" hidden="0" customWidth="1"/>
    <x:col min="8" max="8" width="9" hidden="0" customWidth="1"/>
    <x:col min="9" max="9" width="50" hidden="0" customWidth="1"/>
    <x:col min="10" max="10" width="49" hidden="0" customWidth="1"/>
    <x:col min="11" max="11" width="31" hidden="0" customWidth="1"/>
    <x:col min="12" max="12" width="54" hidden="0" customWidth="1"/>
    <x:col min="13" max="13" width="25" hidden="0" customWidth="1"/>
    <x:col min="14" max="14" width="14" hidden="0" customWidth="1"/>
    <x:col min="15" max="15" width="14" hidden="0" customWidth="1"/>
    <x:col min="16" max="16" width="16" hidden="0" customWidth="1"/>
  </x:cols>
  <x:sheetData>
    <x:row r="1" ht="46" customHeight="1">
      <x:c r="A1" s="12" t="str">
        <x:v>Function</x:v>
      </x:c>
      <x:c r="B1" s="12" t="str">
        <x:v>Category ID</x:v>
      </x:c>
      <x:c r="C1" s="12" t="str">
        <x:v>Category</x:v>
      </x:c>
      <x:c r="D1" s="12" t="str">
        <x:v>Outcome Focus</x:v>
      </x:c>
      <x:c r="E1" s="12" t="str">
        <x:v>Importance Weight</x:v>
      </x:c>
      <x:c r="F1" s="12" t="str">
        <x:v>Current Score</x:v>
      </x:c>
      <x:c r="G1" s="12" t="str">
        <x:v>Target Score</x:v>
      </x:c>
      <x:c r="H1" s="12" t="str">
        <x:v>Gap</x:v>
      </x:c>
      <x:c r="I1" s="12" t="str">
        <x:v>Current Implementation / Evidence</x:v>
      </x:c>
      <x:c r="J1" s="12" t="str">
        <x:v>Key Gap / Weakness</x:v>
      </x:c>
      <x:c r="K1" s="12" t="str">
        <x:v>Linked Risk IDs</x:v>
      </x:c>
      <x:c r="L1" s="12" t="str">
        <x:v>Primary Improvement</x:v>
      </x:c>
      <x:c r="M1" s="12" t="str">
        <x:v>Control Owner</x:v>
      </x:c>
      <x:c r="N1" s="12" t="str">
        <x:v>Target Date</x:v>
      </x:c>
      <x:c r="O1" s="12" t="str">
        <x:v>Status</x:v>
      </x:c>
      <x:c r="P1" s="12" t="str">
        <x:v>Evidence Status</x:v>
      </x:c>
    </x:row>
    <x:row r="2">
      <x:c r="A2" s="20" t="str">
        <x:v>Govern</x:v>
      </x:c>
      <x:c r="B2" s="20" t="str">
        <x:v>GV.OC</x:v>
      </x:c>
      <x:c r="C2" s="20" t="str">
        <x:v>Organizational Context</x:v>
      </x:c>
      <x:c r="D2" s="20" t="str">
        <x:v>Understand mission, stakeholders, dependencies and requirements that shape cybersecurity risk decisions.</x:v>
      </x:c>
      <x:c r="E2" s="20" t="n">
        <x:v>4</x:v>
      </x:c>
      <x:c r="F2" s="20" t="n">
        <x:v>3</x:v>
      </x:c>
      <x:c r="G2" s="20" t="n">
        <x:v>4</x:v>
      </x:c>
      <x:c r="H2" s="20" t="n">
        <x:f>MAX(G2-F2,0)</x:f>
        <x:v>1</x:v>
      </x:c>
      <x:c r="I2" s="20" t="str">
        <x:v>Business context, critical services, assets and external dependencies are documented in the Project 2 inventory.</x:v>
      </x:c>
      <x:c r="J2" s="20" t="str">
        <x:v>Cybersecurity requirements and stakeholder expectations are not yet consolidated into a formal enterprise context statement.</x:v>
      </x:c>
      <x:c r="K2" s="20" t="str">
        <x:v>R-15; R-22</x:v>
      </x:c>
      <x:c r="L2" s="20" t="str">
        <x:v>Approve an enterprise cybersecurity context and dependency statement; review annually.</x:v>
      </x:c>
      <x:c r="M2" s="20" t="str">
        <x:v>COO / IT Manager</x:v>
      </x:c>
      <x:c r="N2" s="24" t="n">
        <x:v>46371</x:v>
      </x:c>
      <x:c r="O2" s="20" t="str">
        <x:v>Not Started</x:v>
      </x:c>
      <x:c r="P2" s="20" t="str">
        <x:v>Partial</x:v>
      </x:c>
    </x:row>
    <x:row r="3">
      <x:c r="A3" s="20" t="str">
        <x:v>Govern</x:v>
      </x:c>
      <x:c r="B3" s="20" t="str">
        <x:v>GV.RM</x:v>
      </x:c>
      <x:c r="C3" s="20" t="str">
        <x:v>Risk Management Strategy</x:v>
      </x:c>
      <x:c r="D3" s="20" t="str">
        <x:v>Establish cybersecurity risk objectives, appetite, priorities and consistent risk-management processes.</x:v>
      </x:c>
      <x:c r="E3" s="20" t="n">
        <x:v>5</x:v>
      </x:c>
      <x:c r="F3" s="20" t="n">
        <x:v>3</x:v>
      </x:c>
      <x:c r="G3" s="20" t="n">
        <x:v>4</x:v>
      </x:c>
      <x:c r="H3" s="20" t="n">
        <x:f>MAX(G3-F3,0)</x:f>
        <x:v>1</x:v>
      </x:c>
      <x:c r="I3" s="20" t="str">
        <x:v>Formal risk register, 5×5 criteria, inherent/residual scoring and simulated risk appetite are documented.</x:v>
      </x:c>
      <x:c r="J3" s="20" t="str">
        <x:v>Risk appetite has not been formally approved by senior management and risk-review cadence is not established.</x:v>
      </x:c>
      <x:c r="K3" s="20" t="str">
        <x:v>R-01 through R-22</x:v>
      </x:c>
      <x:c r="L3" s="20" t="str">
        <x:v>Approve cyber risk appetite/tolerance and quarterly risk-review process.</x:v>
      </x:c>
      <x:c r="M3" s="20" t="str">
        <x:v>Executive Team / IT Manager</x:v>
      </x:c>
      <x:c r="N3" s="24" t="n">
        <x:v>46326</x:v>
      </x:c>
      <x:c r="O3" s="20" t="str">
        <x:v>In Progress</x:v>
      </x:c>
      <x:c r="P3" s="20" t="str">
        <x:v>Partial</x:v>
      </x:c>
    </x:row>
    <x:row r="4">
      <x:c r="A4" s="20" t="str">
        <x:v>Govern</x:v>
      </x:c>
      <x:c r="B4" s="20" t="str">
        <x:v>GV.RR</x:v>
      </x:c>
      <x:c r="C4" s="20" t="str">
        <x:v>Roles, Responsibilities &amp; Authorities</x:v>
      </x:c>
      <x:c r="D4" s="20" t="str">
        <x:v>Define and communicate cybersecurity responsibilities, accountability and authority.</x:v>
      </x:c>
      <x:c r="E4" s="20" t="n">
        <x:v>5</x:v>
      </x:c>
      <x:c r="F4" s="20" t="n">
        <x:v>2</x:v>
      </x:c>
      <x:c r="G4" s="20" t="n">
        <x:v>4</x:v>
      </x:c>
      <x:c r="H4" s="20" t="n">
        <x:f>MAX(G4-F4,0)</x:f>
        <x:v>2</x:v>
      </x:c>
      <x:c r="I4" s="20" t="str">
        <x:v>Risk owners and treatment owners are assigned across the risk register and action plan.</x:v>
      </x:c>
      <x:c r="J4" s="20" t="str">
        <x:v>Privileged administration and supplier oversight remain concentrated; RACI and escalation authorities are informal.</x:v>
      </x:c>
      <x:c r="K4" s="20" t="str">
        <x:v>R-04; R-14; R-20</x:v>
      </x:c>
      <x:c r="L4" s="20" t="str">
        <x:v>Create cybersecurity RACI, privileged-access responsibilities and incident decision authorities.</x:v>
      </x:c>
      <x:c r="M4" s="20" t="str">
        <x:v>IT Manager / HR</x:v>
      </x:c>
      <x:c r="N4" s="24" t="n">
        <x:v>46356</x:v>
      </x:c>
      <x:c r="O4" s="20" t="str">
        <x:v>Not Started</x:v>
      </x:c>
      <x:c r="P4" s="20" t="str">
        <x:v>Partial</x:v>
      </x:c>
    </x:row>
    <x:row r="5">
      <x:c r="A5" s="20" t="str">
        <x:v>Govern</x:v>
      </x:c>
      <x:c r="B5" s="20" t="str">
        <x:v>GV.PO</x:v>
      </x:c>
      <x:c r="C5" s="20" t="str">
        <x:v>Policy</x:v>
      </x:c>
      <x:c r="D5" s="20" t="str">
        <x:v>Establish, communicate and maintain cybersecurity policies that guide risk management.</x:v>
      </x:c>
      <x:c r="E5" s="20" t="n">
        <x:v>4</x:v>
      </x:c>
      <x:c r="F5" s="20" t="n">
        <x:v>2</x:v>
      </x:c>
      <x:c r="G5" s="20" t="n">
        <x:v>3</x:v>
      </x:c>
      <x:c r="H5" s="20" t="n">
        <x:f>MAX(G5-F5,0)</x:f>
        <x:v>1</x:v>
      </x:c>
      <x:c r="I5" s="20" t="str">
        <x:v>Operational practices exist for access, backups, endpoints and vendors, but are distributed across teams.</x:v>
      </x:c>
      <x:c r="J5" s="20" t="str">
        <x:v>No cohesive approved cybersecurity policy suite; several controls rely on informal practice.</x:v>
      </x:c>
      <x:c r="K5" s="20" t="str">
        <x:v>R-03; R-08; R-09; R-13; R-20</x:v>
      </x:c>
      <x:c r="L5" s="20" t="str">
        <x:v>Approve minimum policy suite: access control, acceptable use, patching, backup, remote access, incident response and supplier security.</x:v>
      </x:c>
      <x:c r="M5" s="20" t="str">
        <x:v>IT Manager / HR</x:v>
      </x:c>
      <x:c r="N5" s="24" t="n">
        <x:v>46371</x:v>
      </x:c>
      <x:c r="O5" s="20" t="str">
        <x:v>Not Started</x:v>
      </x:c>
      <x:c r="P5" s="20" t="str">
        <x:v>Missing</x:v>
      </x:c>
    </x:row>
    <x:row r="6">
      <x:c r="A6" s="20" t="str">
        <x:v>Govern</x:v>
      </x:c>
      <x:c r="B6" s="20" t="str">
        <x:v>GV.OV</x:v>
      </x:c>
      <x:c r="C6" s="20" t="str">
        <x:v>Oversight</x:v>
      </x:c>
      <x:c r="D6" s="20" t="str">
        <x:v>Review cybersecurity performance, risk outcomes and changes to support accountability and improvement.</x:v>
      </x:c>
      <x:c r="E6" s="20" t="n">
        <x:v>5</x:v>
      </x:c>
      <x:c r="F6" s="20" t="n">
        <x:v>2</x:v>
      </x:c>
      <x:c r="G6" s="20" t="n">
        <x:v>4</x:v>
      </x:c>
      <x:c r="H6" s="20" t="n">
        <x:f>MAX(G6-F6,0)</x:f>
        <x:v>2</x:v>
      </x:c>
      <x:c r="I6" s="20" t="str">
        <x:v>Executive dashboard and risk/treatment metrics have been designed for the simulated assessment.</x:v>
      </x:c>
      <x:c r="J6" s="20" t="str">
        <x:v>No recurring management review, KRIs/KPIs, exception governance or evidence of remediation closure reviews.</x:v>
      </x:c>
      <x:c r="K6" s="20" t="str">
        <x:v>R-01 through R-22</x:v>
      </x:c>
      <x:c r="L6" s="20" t="str">
        <x:v>Establish quarterly cyber-risk steering review with metrics, overdue-action tracking and risk acceptance decisions.</x:v>
      </x:c>
      <x:c r="M6" s="20" t="str">
        <x:v>COO / IT Manager</x:v>
      </x:c>
      <x:c r="N6" s="24" t="n">
        <x:v>46356</x:v>
      </x:c>
      <x:c r="O6" s="20" t="str">
        <x:v>Not Started</x:v>
      </x:c>
      <x:c r="P6" s="20" t="str">
        <x:v>Planned</x:v>
      </x:c>
    </x:row>
    <x:row r="7">
      <x:c r="A7" s="20" t="str">
        <x:v>Govern</x:v>
      </x:c>
      <x:c r="B7" s="20" t="str">
        <x:v>GV.SC</x:v>
      </x:c>
      <x:c r="C7" s="20" t="str">
        <x:v>Cybersecurity Supply Chain Risk Management</x:v>
      </x:c>
      <x:c r="D7" s="20" t="str">
        <x:v>Identify, assess and manage cybersecurity risks from suppliers and service providers.</x:v>
      </x:c>
      <x:c r="E7" s="20" t="n">
        <x:v>5</x:v>
      </x:c>
      <x:c r="F7" s="20" t="n">
        <x:v>1</x:v>
      </x:c>
      <x:c r="G7" s="20" t="n">
        <x:v>4</x:v>
      </x:c>
      <x:c r="H7" s="20" t="n">
        <x:f>MAX(G7-F7,0)</x:f>
        <x:v>3</x:v>
      </x:c>
      <x:c r="I7" s="20" t="str">
        <x:v>Critical SaaS, RMM, MSP and telecom dependencies are inventoried; vendor risk scenarios are documented.</x:v>
      </x:c>
      <x:c r="J7" s="20" t="str">
        <x:v>Supplier assurance, minimum contract clauses, privileged third-party access review and exit planning are inconsistent.</x:v>
      </x:c>
      <x:c r="K7" s="20" t="str">
        <x:v>R-14; R-15; R-22</x:v>
      </x:c>
      <x:c r="L7" s="20" t="str">
        <x:v>Implement tiered vendor risk management, annual critical-vendor assurance, minimum security clauses and quarterly privileged-access review.</x:v>
      </x:c>
      <x:c r="M7" s="20" t="str">
        <x:v>Procurement / IT Manager</x:v>
      </x:c>
      <x:c r="N7" s="24" t="n">
        <x:v>46371</x:v>
      </x:c>
      <x:c r="O7" s="20" t="str">
        <x:v>Not Started</x:v>
      </x:c>
      <x:c r="P7" s="20" t="str">
        <x:v>Partial</x:v>
      </x:c>
    </x:row>
    <x:row r="8">
      <x:c r="A8" s="20" t="str">
        <x:v>Identify</x:v>
      </x:c>
      <x:c r="B8" s="20" t="str">
        <x:v>ID.AM</x:v>
      </x:c>
      <x:c r="C8" s="20" t="str">
        <x:v>Asset Management</x:v>
      </x:c>
      <x:c r="D8" s="20" t="str">
        <x:v>Identify and manage assets, data, services and dependencies based on importance to business objectives.</x:v>
      </x:c>
      <x:c r="E8" s="20" t="n">
        <x:v>5</x:v>
      </x:c>
      <x:c r="F8" s="20" t="n">
        <x:v>3</x:v>
      </x:c>
      <x:c r="G8" s="20" t="n">
        <x:v>4</x:v>
      </x:c>
      <x:c r="H8" s="20" t="n">
        <x:f>MAX(G8-F8,0)</x:f>
        <x:v>1</x:v>
      </x:c>
      <x:c r="I8" s="20" t="str">
        <x:v>35 assets, 10 business services, 8 crown jewels, ownership, RTO/RPO, exposure and dependencies are documented.</x:v>
      </x:c>
      <x:c r="J8" s="20" t="str">
        <x:v>Inventory ownership/change process and automated discovery are not yet formalized.</x:v>
      </x:c>
      <x:c r="K8" s="20" t="str">
        <x:v>R-05; R-07; R-08; R-21; R-22</x:v>
      </x:c>
      <x:c r="L8" s="20" t="str">
        <x:v>Assign asset-register custodian; quarterly reconciliation; integrate endpoint/cloud inventory feeds.</x:v>
      </x:c>
      <x:c r="M8" s="20" t="str">
        <x:v>IT Manager</x:v>
      </x:c>
      <x:c r="N8" s="24" t="n">
        <x:v>46356</x:v>
      </x:c>
      <x:c r="O8" s="20" t="str">
        <x:v>In Progress</x:v>
      </x:c>
      <x:c r="P8" s="20" t="str">
        <x:v>Available</x:v>
      </x:c>
    </x:row>
    <x:row r="9">
      <x:c r="A9" s="20" t="str">
        <x:v>Identify</x:v>
      </x:c>
      <x:c r="B9" s="20" t="str">
        <x:v>ID.RA</x:v>
      </x:c>
      <x:c r="C9" s="20" t="str">
        <x:v>Risk Assessment</x:v>
      </x:c>
      <x:c r="D9" s="20" t="str">
        <x:v>Identify threats, vulnerabilities, likelihood and impact to understand cybersecurity risk.</x:v>
      </x:c>
      <x:c r="E9" s="20" t="n">
        <x:v>5</x:v>
      </x:c>
      <x:c r="F9" s="20" t="n">
        <x:v>3</x:v>
      </x:c>
      <x:c r="G9" s="20" t="n">
        <x:v>4</x:v>
      </x:c>
      <x:c r="H9" s="20" t="n">
        <x:f>MAX(G9-F9,0)</x:f>
        <x:v>1</x:v>
      </x:c>
      <x:c r="I9" s="20" t="str">
        <x:v>36 threat/vulnerability scenarios and 22 enterprise risks with inherent/residual ratings are documented.</x:v>
      </x:c>
      <x:c r="J9" s="20" t="str">
        <x:v>Formal vulnerability scanning cadence, threat intelligence intake and re-assessment triggers are not established.</x:v>
      </x:c>
      <x:c r="K9" s="20" t="str">
        <x:v>R-01 through R-22</x:v>
      </x:c>
      <x:c r="L9" s="20" t="str">
        <x:v>Establish quarterly risk refresh plus monthly vulnerability/threat review for critical assets.</x:v>
      </x:c>
      <x:c r="M9" s="20" t="str">
        <x:v>IT Security Analyst</x:v>
      </x:c>
      <x:c r="N9" s="24" t="n">
        <x:v>46356</x:v>
      </x:c>
      <x:c r="O9" s="20" t="str">
        <x:v>In Progress</x:v>
      </x:c>
      <x:c r="P9" s="20" t="str">
        <x:v>Available</x:v>
      </x:c>
    </x:row>
    <x:row r="10">
      <x:c r="A10" s="20" t="str">
        <x:v>Identify</x:v>
      </x:c>
      <x:c r="B10" s="20" t="str">
        <x:v>ID.IM</x:v>
      </x:c>
      <x:c r="C10" s="20" t="str">
        <x:v>Improvement</x:v>
      </x:c>
      <x:c r="D10" s="20" t="str">
        <x:v>Use assessments, tests, exercises and lessons learned to improve cybersecurity risk management.</x:v>
      </x:c>
      <x:c r="E10" s="20" t="n">
        <x:v>4</x:v>
      </x:c>
      <x:c r="F10" s="20" t="n">
        <x:v>2</x:v>
      </x:c>
      <x:c r="G10" s="20" t="n">
        <x:v>4</x:v>
      </x:c>
      <x:c r="H10" s="20" t="n">
        <x:f>MAX(G10-F10,0)</x:f>
        <x:v>2</x:v>
      </x:c>
      <x:c r="I10" s="20" t="str">
        <x:v>Gap action plan and target-state recommendations exist; restore tests and control validation are proposed.</x:v>
      </x:c>
      <x:c r="J10" s="20" t="str">
        <x:v>Lessons learned, tabletop exercises, post-incident reviews and formal control-testing cycle are immature.</x:v>
      </x:c>
      <x:c r="K10" s="20" t="str">
        <x:v>R-06; R-18; R-20; R-21</x:v>
      </x:c>
      <x:c r="L10" s="20" t="str">
        <x:v>Create annual control-assurance calendar covering restores, IR tabletop, access review, firewall review and supplier evidence.</x:v>
      </x:c>
      <x:c r="M10" s="20" t="str">
        <x:v>IT Manager</x:v>
      </x:c>
      <x:c r="N10" s="24" t="n">
        <x:v>46387</x:v>
      </x:c>
      <x:c r="O10" s="20" t="str">
        <x:v>Not Started</x:v>
      </x:c>
      <x:c r="P10" s="20" t="str">
        <x:v>Planned</x:v>
      </x:c>
    </x:row>
    <x:row r="11">
      <x:c r="A11" s="20" t="str">
        <x:v>Protect</x:v>
      </x:c>
      <x:c r="B11" s="20" t="str">
        <x:v>PR.AA</x:v>
      </x:c>
      <x:c r="C11" s="20" t="str">
        <x:v>Identity Management, Authentication &amp; Access Control</x:v>
      </x:c>
      <x:c r="D11" s="20" t="str">
        <x:v>Manage identities, authentication, authorization and access based on risk and least privilege.</x:v>
      </x:c>
      <x:c r="E11" s="20" t="n">
        <x:v>5</x:v>
      </x:c>
      <x:c r="F11" s="20" t="n">
        <x:v>1</x:v>
      </x:c>
      <x:c r="G11" s="20" t="n">
        <x:v>4</x:v>
      </x:c>
      <x:c r="H11" s="20" t="n">
        <x:f>MAX(G11-F11,0)</x:f>
        <x:v>3</x:v>
      </x:c>
      <x:c r="I11" s="20" t="str">
        <x:v>Admin MFA exists; password manager is deployed; some users and VPN accounts have MFA.</x:v>
      </x:c>
      <x:c r="J11" s="20" t="str">
        <x:v>MFA coverage incomplete; stale privileges, legacy accounts, broad exports and general-purpose admin access remain.</x:v>
      </x:c>
      <x:c r="K11" s="20" t="str">
        <x:v>R-02; R-03; R-04; R-10; R-11; R-12; R-13; R-14; R-17; R-19; R-20</x:v>
      </x:c>
      <x:c r="L11" s="20" t="str">
        <x:v>Universal MFA, conditional access, quarterly access recertification, separate admin accounts and hardened privileged access.</x:v>
      </x:c>
      <x:c r="M11" s="20" t="str">
        <x:v>IT Manager</x:v>
      </x:c>
      <x:c r="N11" s="24" t="n">
        <x:v>46326</x:v>
      </x:c>
      <x:c r="O11" s="20" t="str">
        <x:v>In Progress</x:v>
      </x:c>
      <x:c r="P11" s="20" t="str">
        <x:v>Partial</x:v>
      </x:c>
    </x:row>
    <x:row r="12">
      <x:c r="A12" s="20" t="str">
        <x:v>Protect</x:v>
      </x:c>
      <x:c r="B12" s="20" t="str">
        <x:v>PR.AT</x:v>
      </x:c>
      <x:c r="C12" s="20" t="str">
        <x:v>Awareness &amp; Training</x:v>
      </x:c>
      <x:c r="D12" s="20" t="str">
        <x:v>Provide cybersecurity awareness and role-based knowledge so people can perform securely.</x:v>
      </x:c>
      <x:c r="E12" s="20" t="n">
        <x:v>4</x:v>
      </x:c>
      <x:c r="F12" s="20" t="n">
        <x:v>2</x:v>
      </x:c>
      <x:c r="G12" s="20" t="n">
        <x:v>3</x:v>
      </x:c>
      <x:c r="H12" s="20" t="n">
        <x:f>MAX(G12-F12,0)</x:f>
        <x:v>1</x:v>
      </x:c>
      <x:c r="I12" s="20" t="str">
        <x:v>General user awareness is assumed and email filtering supports user protection.</x:v>
      </x:c>
      <x:c r="J12" s="20" t="str">
        <x:v>No measured phishing program or role-specific training for finance, executives, IT administrators and data owners.</x:v>
      </x:c>
      <x:c r="K12" s="20" t="str">
        <x:v>R-01; R-02; R-09; R-19</x:v>
      </x:c>
      <x:c r="L12" s="20" t="str">
        <x:v>Implement annual baseline training plus quarterly phishing exercises and targeted BEC/admin/data-owner modules.</x:v>
      </x:c>
      <x:c r="M12" s="20" t="str">
        <x:v>HR / IT Security</x:v>
      </x:c>
      <x:c r="N12" s="24" t="n">
        <x:v>46371</x:v>
      </x:c>
      <x:c r="O12" s="20" t="str">
        <x:v>Not Started</x:v>
      </x:c>
      <x:c r="P12" s="20" t="str">
        <x:v>Missing</x:v>
      </x:c>
    </x:row>
    <x:row r="13">
      <x:c r="A13" s="20" t="str">
        <x:v>Protect</x:v>
      </x:c>
      <x:c r="B13" s="20" t="str">
        <x:v>PR.DS</x:v>
      </x:c>
      <x:c r="C13" s="20" t="str">
        <x:v>Data Security</x:v>
      </x:c>
      <x:c r="D13" s="20" t="str">
        <x:v>Protect data confidentiality, integrity and availability throughout its lifecycle.</x:v>
      </x:c>
      <x:c r="E13" s="20" t="n">
        <x:v>5</x:v>
      </x:c>
      <x:c r="F13" s="20" t="n">
        <x:v>1</x:v>
      </x:c>
      <x:c r="G13" s="20" t="n">
        <x:v>4</x:v>
      </x:c>
      <x:c r="H13" s="20" t="n">
        <x:f>MAX(G13-F13,0)</x:f>
        <x:v>3</x:v>
      </x:c>
      <x:c r="I13" s="20" t="str">
        <x:v>Application permissions, M365 controls, backups and some endpoint protections exist.</x:v>
      </x:c>
      <x:c r="J13" s="20" t="str">
        <x:v>External sharing, bulk exports, endpoint encryption validation, DLP, data retention and sensitive-data handling are inconsistent.</x:v>
      </x:c>
      <x:c r="K13" s="20" t="str">
        <x:v>R-08; R-09; R-10; R-11; R-12; R-19</x:v>
      </x:c>
      <x:c r="L13" s="20" t="str">
        <x:v>Validate encryption; deploy DLP/sensitivity labels; restrict exports/sharing; define secure data-handling and retention standards.</x:v>
      </x:c>
      <x:c r="M13" s="20" t="str">
        <x:v>COO / IT Security</x:v>
      </x:c>
      <x:c r="N13" s="24" t="n">
        <x:v>46371</x:v>
      </x:c>
      <x:c r="O13" s="20" t="str">
        <x:v>Not Started</x:v>
      </x:c>
      <x:c r="P13" s="20" t="str">
        <x:v>Partial</x:v>
      </x:c>
    </x:row>
    <x:row r="14">
      <x:c r="A14" s="20" t="str">
        <x:v>Protect</x:v>
      </x:c>
      <x:c r="B14" s="20" t="str">
        <x:v>PR.PS</x:v>
      </x:c>
      <x:c r="C14" s="20" t="str">
        <x:v>Platform Security</x:v>
      </x:c>
      <x:c r="D14" s="20" t="str">
        <x:v>Secure hardware, software, services and configurations throughout their lifecycle.</x:v>
      </x:c>
      <x:c r="E14" s="20" t="n">
        <x:v>5</x:v>
      </x:c>
      <x:c r="F14" s="20" t="n">
        <x:v>2</x:v>
      </x:c>
      <x:c r="G14" s="20" t="n">
        <x:v>4</x:v>
      </x:c>
      <x:c r="H14" s="20" t="n">
        <x:f>MAX(G14-F14,0)</x:f>
        <x:v>2</x:v>
      </x:c>
      <x:c r="I14" s="20" t="str">
        <x:v>EDR/AV, managed firewalls, endpoint tooling and configuration backups are present.</x:v>
      </x:c>
      <x:c r="J14" s="20" t="str">
        <x:v>Mixed patch cadence, legacy systems, local-admin exceptions, firewall baselines and CMS patch ownership remain weak.</x:v>
      </x:c>
      <x:c r="K14" s="20" t="str">
        <x:v>R-05; R-07; R-08; R-13; R-16; R-20</x:v>
      </x:c>
      <x:c r="L14" s="20" t="str">
        <x:v>Establish patch/vulnerability SLA, secure configuration baselines, local-admin restrictions and legacy isolation/migration.</x:v>
      </x:c>
      <x:c r="M14" s="20" t="str">
        <x:v>IT Manager</x:v>
      </x:c>
      <x:c r="N14" s="24" t="n">
        <x:v>46356</x:v>
      </x:c>
      <x:c r="O14" s="20" t="str">
        <x:v>In Progress</x:v>
      </x:c>
      <x:c r="P14" s="20" t="str">
        <x:v>Partial</x:v>
      </x:c>
    </x:row>
    <x:row r="15">
      <x:c r="A15" s="20" t="str">
        <x:v>Protect</x:v>
      </x:c>
      <x:c r="B15" s="20" t="str">
        <x:v>PR.IR</x:v>
      </x:c>
      <x:c r="C15" s="20" t="str">
        <x:v>Technology Infrastructure Resilience</x:v>
      </x:c>
      <x:c r="D15" s="20" t="str">
        <x:v>Protect availability and resilience of technology services against disruption.</x:v>
      </x:c>
      <x:c r="E15" s="20" t="n">
        <x:v>5</x:v>
      </x:c>
      <x:c r="F15" s="20" t="n">
        <x:v>1</x:v>
      </x:c>
      <x:c r="G15" s="20" t="n">
        <x:v>4</x:v>
      </x:c>
      <x:c r="H15" s="20" t="n">
        <x:f>MAX(G15-F15,0)</x:f>
        <x:v>3</x:v>
      </x:c>
      <x:c r="I15" s="20" t="str">
        <x:v>Backups, limited ISP failover, configuration backups and SaaS resilience exist.</x:v>
      </x:c>
      <x:c r="J15" s="20" t="str">
        <x:v>Backup immutability, restore evidence, virtualization redundancy and primary-site connectivity resilience are incomplete.</x:v>
      </x:c>
      <x:c r="K15" s="20" t="str">
        <x:v>R-05; R-06; R-15; R-21; R-22</x:v>
      </x:c>
      <x:c r="L15" s="20" t="str">
        <x:v>Implement immutable recovery, quarterly restore tests, alternate connectivity and legacy-host resilience/migration plan.</x:v>
      </x:c>
      <x:c r="M15" s="20" t="str">
        <x:v>IT Manager / COO</x:v>
      </x:c>
      <x:c r="N15" s="24" t="n">
        <x:v>46387</x:v>
      </x:c>
      <x:c r="O15" s="20" t="str">
        <x:v>In Progress</x:v>
      </x:c>
      <x:c r="P15" s="20" t="str">
        <x:v>Partial</x:v>
      </x:c>
    </x:row>
    <x:row r="16">
      <x:c r="A16" s="20" t="str">
        <x:v>Detect</x:v>
      </x:c>
      <x:c r="B16" s="20" t="str">
        <x:v>DE.CM</x:v>
      </x:c>
      <x:c r="C16" s="20" t="str">
        <x:v>Continuous Monitoring</x:v>
      </x:c>
      <x:c r="D16" s="20" t="str">
        <x:v>Monitor assets and services to identify potentially adverse cybersecurity events.</x:v>
      </x:c>
      <x:c r="E16" s="20" t="n">
        <x:v>5</x:v>
      </x:c>
      <x:c r="F16" s="20" t="n">
        <x:v>1</x:v>
      </x:c>
      <x:c r="G16" s="20" t="n">
        <x:v>4</x:v>
      </x:c>
      <x:c r="H16" s="20" t="n">
        <x:f>MAX(G16-F16,0)</x:f>
        <x:v>3</x:v>
      </x:c>
      <x:c r="I16" s="20" t="str">
        <x:v>M365, firewall, VPN and EDR logs exist; a lightweight centralized logging capability is in pilot.</x:v>
      </x:c>
      <x:c r="J16" s="20" t="str">
        <x:v>Coverage is fragmented; critical SaaS and legacy logs are missing and alert ownership is informal.</x:v>
      </x:c>
      <x:c r="K16" s="20" t="str">
        <x:v>R-02; R-03; R-04; R-05; R-10; R-13; R-14; R-18; R-19</x:v>
      </x:c>
      <x:c r="L16" s="20" t="str">
        <x:v>Centralize priority telemetry; define alert ownership, retention and monitoring use cases; monitor privileged/vendor/data-export activity.</x:v>
      </x:c>
      <x:c r="M16" s="20" t="str">
        <x:v>IT Security Analyst</x:v>
      </x:c>
      <x:c r="N16" s="24" t="n">
        <x:v>46371</x:v>
      </x:c>
      <x:c r="O16" s="20" t="str">
        <x:v>Not Started</x:v>
      </x:c>
      <x:c r="P16" s="20" t="str">
        <x:v>Partial</x:v>
      </x:c>
    </x:row>
    <x:row r="17">
      <x:c r="A17" s="20" t="str">
        <x:v>Detect</x:v>
      </x:c>
      <x:c r="B17" s="20" t="str">
        <x:v>DE.AE</x:v>
      </x:c>
      <x:c r="C17" s="20" t="str">
        <x:v>Adverse Event Analysis</x:v>
      </x:c>
      <x:c r="D17" s="20" t="str">
        <x:v>Analyze detected events to understand significance, scope and potential incident impact.</x:v>
      </x:c>
      <x:c r="E17" s="20" t="n">
        <x:v>5</x:v>
      </x:c>
      <x:c r="F17" s="20" t="n">
        <x:v>1</x:v>
      </x:c>
      <x:c r="G17" s="20" t="n">
        <x:v>4</x:v>
      </x:c>
      <x:c r="H17" s="20" t="n">
        <x:f>MAX(G17-F17,0)</x:f>
        <x:v>3</x:v>
      </x:c>
      <x:c r="I17" s="20" t="str">
        <x:v>Product-specific alerts and audit logs support basic investigation.</x:v>
      </x:c>
      <x:c r="J17" s="20" t="str">
        <x:v>No formal triage matrix, correlation rules, baselines, escalation thresholds or documented investigation workflow.</x:v>
      </x:c>
      <x:c r="K17" s="20" t="str">
        <x:v>R-02; R-04; R-05; R-14; R-18</x:v>
      </x:c>
      <x:c r="L17" s="20" t="str">
        <x:v>Define severity/triage criteria, correlation use cases, investigation checklist and escalation SLA.</x:v>
      </x:c>
      <x:c r="M17" s="20" t="str">
        <x:v>IT Security Analyst</x:v>
      </x:c>
      <x:c r="N17" s="24" t="n">
        <x:v>46371</x:v>
      </x:c>
      <x:c r="O17" s="20" t="str">
        <x:v>Not Started</x:v>
      </x:c>
      <x:c r="P17" s="20" t="str">
        <x:v>Missing</x:v>
      </x:c>
    </x:row>
    <x:row r="18">
      <x:c r="A18" s="20" t="str">
        <x:v>Respond</x:v>
      </x:c>
      <x:c r="B18" s="20" t="str">
        <x:v>RS.MA</x:v>
      </x:c>
      <x:c r="C18" s="20" t="str">
        <x:v>Incident Management</x:v>
      </x:c>
      <x:c r="D18" s="20" t="str">
        <x:v>Coordinate and manage cybersecurity incidents from declaration through closure.</x:v>
      </x:c>
      <x:c r="E18" s="20" t="n">
        <x:v>5</x:v>
      </x:c>
      <x:c r="F18" s="20" t="n">
        <x:v>2</x:v>
      </x:c>
      <x:c r="G18" s="20" t="n">
        <x:v>4</x:v>
      </x:c>
      <x:c r="H18" s="20" t="n">
        <x:f>MAX(G18-F18,0)</x:f>
        <x:v>2</x:v>
      </x:c>
      <x:c r="I18" s="20" t="str">
        <x:v>IT personnel can respond operationally and several systems provide containment capabilities.</x:v>
      </x:c>
      <x:c r="J18" s="20" t="str">
        <x:v>Formal incident response plan, incident roles, severity levels, evidence handling and exercise cadence are incomplete.</x:v>
      </x:c>
      <x:c r="K18" s="20" t="str">
        <x:v>R-01; R-02; R-05; R-06; R-13; R-14; R-18</x:v>
      </x:c>
      <x:c r="L18" s="20" t="str">
        <x:v>Approve incident response plan, severity model, incident commander role and annual tabletop exercise.</x:v>
      </x:c>
      <x:c r="M18" s="20" t="str">
        <x:v>IT Manager</x:v>
      </x:c>
      <x:c r="N18" s="24" t="n">
        <x:v>46356</x:v>
      </x:c>
      <x:c r="O18" s="20" t="str">
        <x:v>Not Started</x:v>
      </x:c>
      <x:c r="P18" s="20" t="str">
        <x:v>Partial</x:v>
      </x:c>
    </x:row>
    <x:row r="19">
      <x:c r="A19" s="20" t="str">
        <x:v>Respond</x:v>
      </x:c>
      <x:c r="B19" s="20" t="str">
        <x:v>RS.AN</x:v>
      </x:c>
      <x:c r="C19" s="20" t="str">
        <x:v>Incident Analysis</x:v>
      </x:c>
      <x:c r="D19" s="20" t="str">
        <x:v>Investigate incidents to determine cause, scope, impact and required actions.</x:v>
      </x:c>
      <x:c r="E19" s="20" t="n">
        <x:v>5</x:v>
      </x:c>
      <x:c r="F19" s="20" t="n">
        <x:v>1</x:v>
      </x:c>
      <x:c r="G19" s="20" t="n">
        <x:v>4</x:v>
      </x:c>
      <x:c r="H19" s="20" t="n">
        <x:f>MAX(G19-F19,0)</x:f>
        <x:v>3</x:v>
      </x:c>
      <x:c r="I19" s="20" t="str">
        <x:v>Endpoint, M365 and network logs provide some investigative evidence.</x:v>
      </x:c>
      <x:c r="J19" s="20" t="str">
        <x:v>Fragmented logs and lack of formal analysis playbooks limit root-cause and scope determination.</x:v>
      </x:c>
      <x:c r="K19" s="20" t="str">
        <x:v>R-02; R-04; R-05; R-14; R-18</x:v>
      </x:c>
      <x:c r="L19" s="20" t="str">
        <x:v>Create BEC, ransomware, cloud-account and vendor-access investigation playbooks; preserve evidence sources.</x:v>
      </x:c>
      <x:c r="M19" s="20" t="str">
        <x:v>IT Security Analyst</x:v>
      </x:c>
      <x:c r="N19" s="24" t="n">
        <x:v>46371</x:v>
      </x:c>
      <x:c r="O19" s="20" t="str">
        <x:v>Not Started</x:v>
      </x:c>
      <x:c r="P19" s="20" t="str">
        <x:v>Missing</x:v>
      </x:c>
    </x:row>
    <x:row r="20">
      <x:c r="A20" s="20" t="str">
        <x:v>Respond</x:v>
      </x:c>
      <x:c r="B20" s="20" t="str">
        <x:v>RS.CO</x:v>
      </x:c>
      <x:c r="C20" s="20" t="str">
        <x:v>Incident Response Reporting &amp; Communication</x:v>
      </x:c>
      <x:c r="D20" s="20" t="str">
        <x:v>Coordinate incident communications with internal and external stakeholders.</x:v>
      </x:c>
      <x:c r="E20" s="20" t="n">
        <x:v>4</x:v>
      </x:c>
      <x:c r="F20" s="20" t="n">
        <x:v>2</x:v>
      </x:c>
      <x:c r="G20" s="20" t="n">
        <x:v>3</x:v>
      </x:c>
      <x:c r="H20" s="20" t="n">
        <x:f>MAX(G20-F20,0)</x:f>
        <x:v>1</x:v>
      </x:c>
      <x:c r="I20" s="20" t="str">
        <x:v>Management, vendor and customer contact channels exist.</x:v>
      </x:c>
      <x:c r="J20" s="20" t="str">
        <x:v>No formal communication matrix, approved templates, vendor escalation tree or regulatory/contract notification decision workflow.</x:v>
      </x:c>
      <x:c r="K20" s="20" t="str">
        <x:v>R-01; R-15; R-16; R-17; R-18</x:v>
      </x:c>
      <x:c r="L20" s="20" t="str">
        <x:v>Create incident communication matrix, contact tree, stakeholder templates and notification decision checklist.</x:v>
      </x:c>
      <x:c r="M20" s="20" t="str">
        <x:v>COO / IT Manager</x:v>
      </x:c>
      <x:c r="N20" s="24" t="n">
        <x:v>46371</x:v>
      </x:c>
      <x:c r="O20" s="20" t="str">
        <x:v>Not Started</x:v>
      </x:c>
      <x:c r="P20" s="20" t="str">
        <x:v>Planned</x:v>
      </x:c>
    </x:row>
    <x:row r="21">
      <x:c r="A21" s="20" t="str">
        <x:v>Respond</x:v>
      </x:c>
      <x:c r="B21" s="20" t="str">
        <x:v>RS.MI</x:v>
      </x:c>
      <x:c r="C21" s="20" t="str">
        <x:v>Incident Mitigation</x:v>
      </x:c>
      <x:c r="D21" s="20" t="str">
        <x:v>Contain and eradicate incidents to prevent expansion and reduce impact.</x:v>
      </x:c>
      <x:c r="E21" s="20" t="n">
        <x:v>5</x:v>
      </x:c>
      <x:c r="F21" s="20" t="n">
        <x:v>2</x:v>
      </x:c>
      <x:c r="G21" s="20" t="n">
        <x:v>4</x:v>
      </x:c>
      <x:c r="H21" s="20" t="n">
        <x:f>MAX(G21-F21,0)</x:f>
        <x:v>2</x:v>
      </x:c>
      <x:c r="I21" s="20" t="str">
        <x:v>EDR, account disablement, firewall controls and backup restoration can support containment.</x:v>
      </x:c>
      <x:c r="J21" s="20" t="str">
        <x:v>Containment actions are not documented as repeatable playbooks and vendor/RMM emergency isolation procedures are unclear.</x:v>
      </x:c>
      <x:c r="K21" s="20" t="str">
        <x:v>R-03; R-04; R-05; R-13; R-14</x:v>
      </x:c>
      <x:c r="L21" s="20" t="str">
        <x:v>Document tested containment playbooks: compromised account, ransomware, VPN/firewall, RMM/vendor and cloud data exposure.</x:v>
      </x:c>
      <x:c r="M21" s="20" t="str">
        <x:v>IT Security Analyst / IT Manager</x:v>
      </x:c>
      <x:c r="N21" s="24" t="n">
        <x:v>46371</x:v>
      </x:c>
      <x:c r="O21" s="20" t="str">
        <x:v>Not Started</x:v>
      </x:c>
      <x:c r="P21" s="20" t="str">
        <x:v>Partial</x:v>
      </x:c>
    </x:row>
    <x:row r="22">
      <x:c r="A22" s="20" t="str">
        <x:v>Recover</x:v>
      </x:c>
      <x:c r="B22" s="20" t="str">
        <x:v>RC.RP</x:v>
      </x:c>
      <x:c r="C22" s="20" t="str">
        <x:v>Incident Recovery Plan Execution</x:v>
      </x:c>
      <x:c r="D22" s="20" t="str">
        <x:v>Restore affected assets and operations in a controlled, prioritized and validated manner.</x:v>
      </x:c>
      <x:c r="E22" s="20" t="n">
        <x:v>5</x:v>
      </x:c>
      <x:c r="F22" s="20" t="n">
        <x:v>1</x:v>
      </x:c>
      <x:c r="G22" s="20" t="n">
        <x:v>4</x:v>
      </x:c>
      <x:c r="H22" s="20" t="n">
        <x:f>MAX(G22-F22,0)</x:f>
        <x:v>3</x:v>
      </x:c>
      <x:c r="I22" s="20" t="str">
        <x:v>Backups and recovery mechanisms exist; target RTO/RPO values are documented for business services.</x:v>
      </x:c>
      <x:c r="J22" s="20" t="str">
        <x:v>Restore testing is ad hoc; recovery sequencing, validation criteria and alternate procedures are incomplete.</x:v>
      </x:c>
      <x:c r="K22" s="20" t="str">
        <x:v>R-05; R-06; R-15; R-21; R-22</x:v>
      </x:c>
      <x:c r="L22" s="20" t="str">
        <x:v>Document recovery runbooks by critical service; test restores quarterly; validate RTO/RPO; track recovery dependencies.</x:v>
      </x:c>
      <x:c r="M22" s="20" t="str">
        <x:v>IT Manager / Service Owners</x:v>
      </x:c>
      <x:c r="N22" s="24" t="n">
        <x:v>46387</x:v>
      </x:c>
      <x:c r="O22" s="20" t="str">
        <x:v>In Progress</x:v>
      </x:c>
      <x:c r="P22" s="20" t="str">
        <x:v>Partial</x:v>
      </x:c>
    </x:row>
    <x:row r="23">
      <x:c r="A23" s="20" t="str">
        <x:v>Recover</x:v>
      </x:c>
      <x:c r="B23" s="20" t="str">
        <x:v>RC.CO</x:v>
      </x:c>
      <x:c r="C23" s="20" t="str">
        <x:v>Incident Recovery Communication</x:v>
      </x:c>
      <x:c r="D23" s="20" t="str">
        <x:v>Coordinate recovery progress and restoration status with stakeholders.</x:v>
      </x:c>
      <x:c r="E23" s="20" t="n">
        <x:v>3</x:v>
      </x:c>
      <x:c r="F23" s="20" t="n">
        <x:v>1</x:v>
      </x:c>
      <x:c r="G23" s="20" t="n">
        <x:v>3</x:v>
      </x:c>
      <x:c r="H23" s="20" t="n">
        <x:f>MAX(G23-F23,0)</x:f>
        <x:v>2</x:v>
      </x:c>
      <x:c r="I23" s="20" t="str">
        <x:v>Normal management and vendor communication channels exist.</x:v>
      </x:c>
      <x:c r="J23" s="20" t="str">
        <x:v>No recovery-status communication plan, stakeholder update templates or service-restoration notification process.</x:v>
      </x:c>
      <x:c r="K23" s="20" t="str">
        <x:v>R-15; R-21; R-22</x:v>
      </x:c>
      <x:c r="L23" s="20" t="str">
        <x:v>Define recovery communication roles, cadence, service-status templates and vendor/customer messaging process.</x:v>
      </x:c>
      <x:c r="M23" s="20" t="str">
        <x:v>COO / Communications</x:v>
      </x:c>
      <x:c r="N23" s="24" t="n">
        <x:v>46387</x:v>
      </x:c>
      <x:c r="O23" s="20" t="str">
        <x:v>Not Started</x:v>
      </x:c>
      <x:c r="P23" s="20" t="str">
        <x:v>Missing</x:v>
      </x:c>
    </x:row>
    <x:row r="24">
      <x:c r="A24" s="119"/>
      <x:c r="B24" s="119"/>
      <x:c r="C24" s="119"/>
      <x:c r="D24" s="119"/>
      <x:c r="E24" s="119"/>
      <x:c r="F24" s="119"/>
      <x:c r="G24" s="119"/>
      <x:c r="H24" s="119"/>
      <x:c r="I24" s="119"/>
      <x:c r="J24" s="119"/>
      <x:c r="K24" s="119"/>
      <x:c r="L24" s="119"/>
      <x:c r="M24" s="119"/>
      <x:c r="N24" s="157"/>
      <x:c r="O24" s="119"/>
      <x:c r="P24" s="119"/>
    </x:row>
    <x:row r="25">
      <x:c r="A25" s="119"/>
      <x:c r="B25" s="119"/>
      <x:c r="C25" s="119"/>
      <x:c r="D25" s="119"/>
      <x:c r="E25" s="119"/>
      <x:c r="F25" s="119"/>
      <x:c r="G25" s="119"/>
      <x:c r="H25" s="119"/>
      <x:c r="I25" s="119"/>
      <x:c r="J25" s="119"/>
      <x:c r="K25" s="119"/>
      <x:c r="L25" s="119"/>
      <x:c r="M25" s="119"/>
      <x:c r="N25" s="157"/>
      <x:c r="O25" s="119"/>
      <x:c r="P25" s="119"/>
    </x:row>
    <x:row r="26">
      <x:c r="A26" s="119"/>
      <x:c r="B26" s="119"/>
      <x:c r="C26" s="119"/>
      <x:c r="D26" s="119"/>
      <x:c r="E26" s="119"/>
      <x:c r="F26" s="119"/>
      <x:c r="G26" s="119"/>
      <x:c r="H26" s="119"/>
      <x:c r="I26" s="119"/>
      <x:c r="J26" s="119"/>
      <x:c r="K26" s="119"/>
      <x:c r="L26" s="119"/>
      <x:c r="M26" s="119"/>
      <x:c r="N26" s="157"/>
      <x:c r="O26" s="119"/>
      <x:c r="P26" s="119"/>
    </x:row>
    <x:row r="27">
      <x:c r="A27" s="119"/>
      <x:c r="B27" s="119"/>
      <x:c r="C27" s="119"/>
      <x:c r="D27" s="119"/>
      <x:c r="E27" s="119"/>
      <x:c r="F27" s="119"/>
      <x:c r="G27" s="119"/>
      <x:c r="H27" s="119"/>
      <x:c r="I27" s="119"/>
      <x:c r="J27" s="119"/>
      <x:c r="K27" s="119"/>
      <x:c r="L27" s="119"/>
      <x:c r="M27" s="119"/>
      <x:c r="N27" s="157"/>
      <x:c r="O27" s="119"/>
      <x:c r="P27" s="119"/>
    </x:row>
    <x:row r="28">
      <x:c r="A28" s="119"/>
      <x:c r="B28" s="119"/>
      <x:c r="C28" s="119"/>
      <x:c r="D28" s="119"/>
      <x:c r="E28" s="119"/>
      <x:c r="F28" s="119"/>
      <x:c r="G28" s="119"/>
      <x:c r="H28" s="119"/>
      <x:c r="I28" s="119"/>
      <x:c r="J28" s="119"/>
      <x:c r="K28" s="119"/>
      <x:c r="L28" s="119"/>
      <x:c r="M28" s="119"/>
      <x:c r="N28" s="157"/>
      <x:c r="O28" s="119"/>
      <x:c r="P28" s="119"/>
    </x:row>
    <x:row r="29">
      <x:c r="A29" s="119"/>
      <x:c r="B29" s="119"/>
      <x:c r="C29" s="119"/>
      <x:c r="D29" s="119"/>
      <x:c r="E29" s="119"/>
      <x:c r="F29" s="119"/>
      <x:c r="G29" s="119"/>
      <x:c r="H29" s="119"/>
      <x:c r="I29" s="119"/>
      <x:c r="J29" s="119"/>
      <x:c r="K29" s="119"/>
      <x:c r="L29" s="119"/>
      <x:c r="M29" s="119"/>
      <x:c r="N29" s="157"/>
      <x:c r="O29" s="119"/>
      <x:c r="P29" s="119"/>
    </x:row>
    <x:row r="30">
      <x:c r="A30" s="119"/>
      <x:c r="B30" s="119"/>
      <x:c r="C30" s="119"/>
      <x:c r="D30" s="119"/>
      <x:c r="E30" s="119"/>
      <x:c r="F30" s="119"/>
      <x:c r="G30" s="119"/>
      <x:c r="H30" s="119"/>
      <x:c r="I30" s="119"/>
      <x:c r="J30" s="119"/>
      <x:c r="K30" s="119"/>
      <x:c r="L30" s="119"/>
      <x:c r="M30" s="119"/>
      <x:c r="N30" s="157"/>
      <x:c r="O30" s="119"/>
      <x:c r="P30" s="119"/>
    </x:row>
    <x:row r="31">
      <x:c r="A31" s="119"/>
      <x:c r="B31" s="119"/>
      <x:c r="C31" s="119"/>
      <x:c r="D31" s="119"/>
      <x:c r="E31" s="119"/>
      <x:c r="F31" s="119"/>
      <x:c r="G31" s="119"/>
      <x:c r="H31" s="119"/>
      <x:c r="I31" s="119"/>
      <x:c r="J31" s="119"/>
      <x:c r="K31" s="119"/>
      <x:c r="L31" s="119"/>
      <x:c r="M31" s="119"/>
      <x:c r="N31" s="157"/>
      <x:c r="O31" s="119"/>
      <x:c r="P31" s="119"/>
    </x:row>
    <x:row r="32">
      <x:c r="A32" s="119"/>
      <x:c r="B32" s="119"/>
      <x:c r="C32" s="119"/>
      <x:c r="D32" s="119"/>
      <x:c r="E32" s="119"/>
      <x:c r="F32" s="119"/>
      <x:c r="G32" s="119"/>
      <x:c r="H32" s="119"/>
      <x:c r="I32" s="119"/>
      <x:c r="J32" s="119"/>
      <x:c r="K32" s="119"/>
      <x:c r="L32" s="119"/>
      <x:c r="M32" s="119"/>
      <x:c r="N32" s="157"/>
      <x:c r="O32" s="119"/>
      <x:c r="P32" s="119"/>
    </x:row>
    <x:row r="33">
      <x:c r="A33" s="119"/>
      <x:c r="B33" s="119"/>
      <x:c r="C33" s="119"/>
      <x:c r="D33" s="119"/>
      <x:c r="E33" s="119"/>
      <x:c r="F33" s="119"/>
      <x:c r="G33" s="119"/>
      <x:c r="H33" s="119"/>
      <x:c r="I33" s="119"/>
      <x:c r="J33" s="119"/>
      <x:c r="K33" s="119"/>
      <x:c r="L33" s="119"/>
      <x:c r="M33" s="119"/>
      <x:c r="N33" s="157"/>
      <x:c r="O33" s="119"/>
      <x:c r="P33" s="119"/>
    </x:row>
    <x:row r="34">
      <x:c r="A34" s="119"/>
      <x:c r="B34" s="119"/>
      <x:c r="C34" s="119"/>
      <x:c r="D34" s="119"/>
      <x:c r="E34" s="119"/>
      <x:c r="F34" s="119"/>
      <x:c r="G34" s="119"/>
      <x:c r="H34" s="119"/>
      <x:c r="I34" s="119"/>
      <x:c r="J34" s="119"/>
      <x:c r="K34" s="119"/>
      <x:c r="L34" s="119"/>
      <x:c r="M34" s="119"/>
      <x:c r="N34" s="157"/>
      <x:c r="O34" s="119"/>
      <x:c r="P34" s="119"/>
    </x:row>
    <x:row r="35">
      <x:c r="A35" s="119"/>
      <x:c r="B35" s="119"/>
      <x:c r="C35" s="119"/>
      <x:c r="D35" s="119"/>
      <x:c r="E35" s="119"/>
      <x:c r="F35" s="119"/>
      <x:c r="G35" s="119"/>
      <x:c r="H35" s="119"/>
      <x:c r="I35" s="119"/>
      <x:c r="J35" s="119"/>
      <x:c r="K35" s="119"/>
      <x:c r="L35" s="119"/>
      <x:c r="M35" s="119"/>
      <x:c r="N35" s="157"/>
      <x:c r="O35" s="119"/>
      <x:c r="P35" s="119"/>
    </x:row>
    <x:row r="36">
      <x:c r="A36" s="119"/>
      <x:c r="B36" s="119"/>
      <x:c r="C36" s="119"/>
      <x:c r="D36" s="119"/>
      <x:c r="E36" s="119"/>
      <x:c r="F36" s="119"/>
      <x:c r="G36" s="119"/>
      <x:c r="H36" s="119"/>
      <x:c r="I36" s="119"/>
      <x:c r="J36" s="119"/>
      <x:c r="K36" s="119"/>
      <x:c r="L36" s="119"/>
      <x:c r="M36" s="119"/>
      <x:c r="N36" s="157"/>
      <x:c r="O36" s="119"/>
      <x:c r="P36" s="119"/>
    </x:row>
    <x:row r="37">
      <x:c r="A37" s="119"/>
      <x:c r="B37" s="119"/>
      <x:c r="C37" s="119"/>
      <x:c r="D37" s="119"/>
      <x:c r="E37" s="119"/>
      <x:c r="F37" s="119"/>
      <x:c r="G37" s="119"/>
      <x:c r="H37" s="119"/>
      <x:c r="I37" s="119"/>
      <x:c r="J37" s="119"/>
      <x:c r="K37" s="119"/>
      <x:c r="L37" s="119"/>
      <x:c r="M37" s="119"/>
      <x:c r="N37" s="157"/>
      <x:c r="O37" s="119"/>
      <x:c r="P37" s="119"/>
    </x:row>
    <x:row r="38">
      <x:c r="A38" s="119"/>
      <x:c r="B38" s="119"/>
      <x:c r="C38" s="119"/>
      <x:c r="D38" s="119"/>
      <x:c r="E38" s="119"/>
      <x:c r="F38" s="119"/>
      <x:c r="G38" s="119"/>
      <x:c r="H38" s="119"/>
      <x:c r="I38" s="119"/>
      <x:c r="J38" s="119"/>
      <x:c r="K38" s="119"/>
      <x:c r="L38" s="119"/>
      <x:c r="M38" s="119"/>
      <x:c r="N38" s="157"/>
      <x:c r="O38" s="119"/>
      <x:c r="P38" s="119"/>
    </x:row>
    <x:row r="39">
      <x:c r="A39" s="119"/>
      <x:c r="B39" s="119"/>
      <x:c r="C39" s="119"/>
      <x:c r="D39" s="119"/>
      <x:c r="E39" s="119"/>
      <x:c r="F39" s="119"/>
      <x:c r="G39" s="119"/>
      <x:c r="H39" s="119"/>
      <x:c r="I39" s="119"/>
      <x:c r="J39" s="119"/>
      <x:c r="K39" s="119"/>
      <x:c r="L39" s="119"/>
      <x:c r="M39" s="119"/>
      <x:c r="N39" s="157"/>
      <x:c r="O39" s="119"/>
      <x:c r="P39" s="119"/>
    </x:row>
    <x:row r="40">
      <x:c r="A40" s="119"/>
      <x:c r="B40" s="119"/>
      <x:c r="C40" s="119"/>
      <x:c r="D40" s="119"/>
      <x:c r="E40" s="119"/>
      <x:c r="F40" s="119"/>
      <x:c r="G40" s="119"/>
      <x:c r="H40" s="119"/>
      <x:c r="I40" s="119"/>
      <x:c r="J40" s="119"/>
      <x:c r="K40" s="119"/>
      <x:c r="L40" s="119"/>
      <x:c r="M40" s="119"/>
      <x:c r="N40" s="157"/>
      <x:c r="O40" s="119"/>
      <x:c r="P40" s="119"/>
    </x:row>
    <x:row r="41">
      <x:c r="A41" s="119"/>
      <x:c r="B41" s="119"/>
      <x:c r="C41" s="119"/>
      <x:c r="D41" s="119"/>
      <x:c r="E41" s="119"/>
      <x:c r="F41" s="119"/>
      <x:c r="G41" s="119"/>
      <x:c r="H41" s="119"/>
      <x:c r="I41" s="119"/>
      <x:c r="J41" s="119"/>
      <x:c r="K41" s="119"/>
      <x:c r="L41" s="119"/>
      <x:c r="M41" s="119"/>
      <x:c r="N41" s="157"/>
      <x:c r="O41" s="119"/>
      <x:c r="P41" s="119"/>
    </x:row>
    <x:row r="42">
      <x:c r="A42" s="119"/>
      <x:c r="B42" s="119"/>
      <x:c r="C42" s="119"/>
      <x:c r="D42" s="119"/>
      <x:c r="E42" s="119"/>
      <x:c r="F42" s="119"/>
      <x:c r="G42" s="119"/>
      <x:c r="H42" s="119"/>
      <x:c r="I42" s="119"/>
      <x:c r="J42" s="119"/>
      <x:c r="K42" s="119"/>
      <x:c r="L42" s="119"/>
      <x:c r="M42" s="119"/>
      <x:c r="N42" s="157"/>
      <x:c r="O42" s="119"/>
      <x:c r="P42" s="119"/>
    </x:row>
    <x:row r="43">
      <x:c r="A43" s="119"/>
      <x:c r="B43" s="119"/>
      <x:c r="C43" s="119"/>
      <x:c r="D43" s="119"/>
      <x:c r="E43" s="119"/>
      <x:c r="F43" s="119"/>
      <x:c r="G43" s="119"/>
      <x:c r="H43" s="119"/>
      <x:c r="I43" s="119"/>
      <x:c r="J43" s="119"/>
      <x:c r="K43" s="119"/>
      <x:c r="L43" s="119"/>
      <x:c r="M43" s="119"/>
      <x:c r="N43" s="157"/>
      <x:c r="O43" s="119"/>
      <x:c r="P43" s="119"/>
    </x:row>
    <x:row r="44">
      <x:c r="A44" s="119"/>
      <x:c r="B44" s="119"/>
      <x:c r="C44" s="119"/>
      <x:c r="D44" s="119"/>
      <x:c r="E44" s="119"/>
      <x:c r="F44" s="119"/>
      <x:c r="G44" s="119"/>
      <x:c r="H44" s="119"/>
      <x:c r="I44" s="119"/>
      <x:c r="J44" s="119"/>
      <x:c r="K44" s="119"/>
      <x:c r="L44" s="119"/>
      <x:c r="M44" s="119"/>
      <x:c r="N44" s="157"/>
      <x:c r="O44" s="119"/>
      <x:c r="P44" s="119"/>
    </x:row>
    <x:row r="45">
      <x:c r="A45" s="119"/>
      <x:c r="B45" s="119"/>
      <x:c r="C45" s="119"/>
      <x:c r="D45" s="119"/>
      <x:c r="E45" s="119"/>
      <x:c r="F45" s="119"/>
      <x:c r="G45" s="119"/>
      <x:c r="H45" s="119"/>
      <x:c r="I45" s="119"/>
      <x:c r="J45" s="119"/>
      <x:c r="K45" s="119"/>
      <x:c r="L45" s="119"/>
      <x:c r="M45" s="119"/>
      <x:c r="N45" s="157"/>
      <x:c r="O45" s="119"/>
      <x:c r="P45" s="119"/>
    </x:row>
    <x:row r="46">
      <x:c r="A46" s="119"/>
      <x:c r="B46" s="119"/>
      <x:c r="C46" s="119"/>
      <x:c r="D46" s="119"/>
      <x:c r="E46" s="119"/>
      <x:c r="F46" s="119"/>
      <x:c r="G46" s="119"/>
      <x:c r="H46" s="119"/>
      <x:c r="I46" s="119"/>
      <x:c r="J46" s="119"/>
      <x:c r="K46" s="119"/>
      <x:c r="L46" s="119"/>
      <x:c r="M46" s="119"/>
      <x:c r="N46" s="157"/>
      <x:c r="O46" s="119"/>
      <x:c r="P46" s="119"/>
    </x:row>
    <x:row r="47">
      <x:c r="A47" s="119"/>
      <x:c r="B47" s="119"/>
      <x:c r="C47" s="119"/>
      <x:c r="D47" s="119"/>
      <x:c r="E47" s="119"/>
      <x:c r="F47" s="119"/>
      <x:c r="G47" s="119"/>
      <x:c r="H47" s="119"/>
      <x:c r="I47" s="119"/>
      <x:c r="J47" s="119"/>
      <x:c r="K47" s="119"/>
      <x:c r="L47" s="119"/>
      <x:c r="M47" s="119"/>
      <x:c r="N47" s="157"/>
      <x:c r="O47" s="119"/>
      <x:c r="P47" s="119"/>
    </x:row>
    <x:row r="48">
      <x:c r="A48" s="119"/>
      <x:c r="B48" s="119"/>
      <x:c r="C48" s="119"/>
      <x:c r="D48" s="119"/>
      <x:c r="E48" s="119"/>
      <x:c r="F48" s="119"/>
      <x:c r="G48" s="119"/>
      <x:c r="H48" s="119"/>
      <x:c r="I48" s="119"/>
      <x:c r="J48" s="119"/>
      <x:c r="K48" s="119"/>
      <x:c r="L48" s="119"/>
      <x:c r="M48" s="119"/>
      <x:c r="N48" s="157"/>
      <x:c r="O48" s="119"/>
      <x:c r="P48" s="119"/>
    </x:row>
    <x:row r="49">
      <x:c r="A49" s="119"/>
      <x:c r="B49" s="119"/>
      <x:c r="C49" s="119"/>
      <x:c r="D49" s="119"/>
      <x:c r="E49" s="119"/>
      <x:c r="F49" s="119"/>
      <x:c r="G49" s="119"/>
      <x:c r="H49" s="119"/>
      <x:c r="I49" s="119"/>
      <x:c r="J49" s="119"/>
      <x:c r="K49" s="119"/>
      <x:c r="L49" s="119"/>
      <x:c r="M49" s="119"/>
      <x:c r="N49" s="157"/>
      <x:c r="O49" s="119"/>
      <x:c r="P49" s="119"/>
    </x:row>
    <x:row r="50">
      <x:c r="A50" s="119"/>
      <x:c r="B50" s="119"/>
      <x:c r="C50" s="119"/>
      <x:c r="D50" s="119"/>
      <x:c r="E50" s="119"/>
      <x:c r="F50" s="119"/>
      <x:c r="G50" s="119"/>
      <x:c r="H50" s="119"/>
      <x:c r="I50" s="119"/>
      <x:c r="J50" s="119"/>
      <x:c r="K50" s="119"/>
      <x:c r="L50" s="119"/>
      <x:c r="M50" s="119"/>
      <x:c r="N50" s="157"/>
      <x:c r="O50" s="119"/>
      <x:c r="P50" s="119"/>
    </x:row>
    <x:row r="51">
      <x:c r="A51" s="119"/>
      <x:c r="B51" s="119"/>
      <x:c r="C51" s="119"/>
      <x:c r="D51" s="119"/>
      <x:c r="E51" s="119"/>
      <x:c r="F51" s="119"/>
      <x:c r="G51" s="119"/>
      <x:c r="H51" s="119"/>
      <x:c r="I51" s="119"/>
      <x:c r="J51" s="119"/>
      <x:c r="K51" s="119"/>
      <x:c r="L51" s="119"/>
      <x:c r="M51" s="119"/>
      <x:c r="N51" s="157"/>
      <x:c r="O51" s="119"/>
      <x:c r="P51" s="119"/>
    </x:row>
    <x:row r="52">
      <x:c r="A52" s="119"/>
      <x:c r="B52" s="119"/>
      <x:c r="C52" s="119"/>
      <x:c r="D52" s="119"/>
      <x:c r="E52" s="119"/>
      <x:c r="F52" s="119"/>
      <x:c r="G52" s="119"/>
      <x:c r="H52" s="119"/>
      <x:c r="I52" s="119"/>
      <x:c r="J52" s="119"/>
      <x:c r="K52" s="119"/>
      <x:c r="L52" s="119"/>
      <x:c r="M52" s="119"/>
      <x:c r="N52" s="157"/>
      <x:c r="O52" s="119"/>
      <x:c r="P52" s="119"/>
    </x:row>
    <x:row r="53">
      <x:c r="A53" s="119"/>
      <x:c r="B53" s="119"/>
      <x:c r="C53" s="119"/>
      <x:c r="D53" s="119"/>
      <x:c r="E53" s="119"/>
      <x:c r="F53" s="119"/>
      <x:c r="G53" s="119"/>
      <x:c r="H53" s="119"/>
      <x:c r="I53" s="119"/>
      <x:c r="J53" s="119"/>
      <x:c r="K53" s="119"/>
      <x:c r="L53" s="119"/>
      <x:c r="M53" s="119"/>
      <x:c r="N53" s="157"/>
      <x:c r="O53" s="119"/>
      <x:c r="P53" s="119"/>
    </x:row>
    <x:row r="54">
      <x:c r="A54" s="119"/>
      <x:c r="B54" s="119"/>
      <x:c r="C54" s="119"/>
      <x:c r="D54" s="119"/>
      <x:c r="E54" s="119"/>
      <x:c r="F54" s="119"/>
      <x:c r="G54" s="119"/>
      <x:c r="H54" s="119"/>
      <x:c r="I54" s="119"/>
      <x:c r="J54" s="119"/>
      <x:c r="K54" s="119"/>
      <x:c r="L54" s="119"/>
      <x:c r="M54" s="119"/>
      <x:c r="N54" s="157"/>
      <x:c r="O54" s="119"/>
      <x:c r="P54" s="119"/>
    </x:row>
    <x:row r="55">
      <x:c r="A55" s="119"/>
      <x:c r="B55" s="119"/>
      <x:c r="C55" s="119"/>
      <x:c r="D55" s="119"/>
      <x:c r="E55" s="119"/>
      <x:c r="F55" s="119"/>
      <x:c r="G55" s="119"/>
      <x:c r="H55" s="119"/>
      <x:c r="I55" s="119"/>
      <x:c r="J55" s="119"/>
      <x:c r="K55" s="119"/>
      <x:c r="L55" s="119"/>
      <x:c r="M55" s="119"/>
      <x:c r="N55" s="157"/>
      <x:c r="O55" s="119"/>
      <x:c r="P55" s="119"/>
    </x:row>
    <x:row r="56">
      <x:c r="A56" s="119"/>
      <x:c r="B56" s="119"/>
      <x:c r="C56" s="119"/>
      <x:c r="D56" s="119"/>
      <x:c r="E56" s="119"/>
      <x:c r="F56" s="119"/>
      <x:c r="G56" s="119"/>
      <x:c r="H56" s="119"/>
      <x:c r="I56" s="119"/>
      <x:c r="J56" s="119"/>
      <x:c r="K56" s="119"/>
      <x:c r="L56" s="119"/>
      <x:c r="M56" s="119"/>
      <x:c r="N56" s="157"/>
      <x:c r="O56" s="119"/>
      <x:c r="P56" s="119"/>
    </x:row>
    <x:row r="57">
      <x:c r="A57" s="119"/>
      <x:c r="B57" s="119"/>
      <x:c r="C57" s="119"/>
      <x:c r="D57" s="119"/>
      <x:c r="E57" s="119"/>
      <x:c r="F57" s="119"/>
      <x:c r="G57" s="119"/>
      <x:c r="H57" s="119"/>
      <x:c r="I57" s="119"/>
      <x:c r="J57" s="119"/>
      <x:c r="K57" s="119"/>
      <x:c r="L57" s="119"/>
      <x:c r="M57" s="119"/>
      <x:c r="N57" s="157"/>
      <x:c r="O57" s="119"/>
      <x:c r="P57" s="119"/>
    </x:row>
    <x:row r="58">
      <x:c r="A58" s="119"/>
      <x:c r="B58" s="119"/>
      <x:c r="C58" s="119"/>
      <x:c r="D58" s="119"/>
      <x:c r="E58" s="119"/>
      <x:c r="F58" s="119"/>
      <x:c r="G58" s="119"/>
      <x:c r="H58" s="119"/>
      <x:c r="I58" s="119"/>
      <x:c r="J58" s="119"/>
      <x:c r="K58" s="119"/>
      <x:c r="L58" s="119"/>
      <x:c r="M58" s="119"/>
      <x:c r="N58" s="157"/>
      <x:c r="O58" s="119"/>
      <x:c r="P58" s="119"/>
    </x:row>
    <x:row r="59">
      <x:c r="A59" s="119"/>
      <x:c r="B59" s="119"/>
      <x:c r="C59" s="119"/>
      <x:c r="D59" s="119"/>
      <x:c r="E59" s="119"/>
      <x:c r="F59" s="119"/>
      <x:c r="G59" s="119"/>
      <x:c r="H59" s="119"/>
      <x:c r="I59" s="119"/>
      <x:c r="J59" s="119"/>
      <x:c r="K59" s="119"/>
      <x:c r="L59" s="119"/>
      <x:c r="M59" s="119"/>
      <x:c r="N59" s="157"/>
      <x:c r="O59" s="119"/>
      <x:c r="P59" s="119"/>
    </x:row>
    <x:row r="60">
      <x:c r="A60" s="119"/>
      <x:c r="B60" s="119"/>
      <x:c r="C60" s="119"/>
      <x:c r="D60" s="119"/>
      <x:c r="E60" s="119"/>
      <x:c r="F60" s="119"/>
      <x:c r="G60" s="119"/>
      <x:c r="H60" s="119"/>
      <x:c r="I60" s="119"/>
      <x:c r="J60" s="119"/>
      <x:c r="K60" s="119"/>
      <x:c r="L60" s="119"/>
      <x:c r="M60" s="119"/>
      <x:c r="N60" s="157"/>
      <x:c r="O60" s="119"/>
      <x:c r="P60" s="119"/>
    </x:row>
    <x:row r="61">
      <x:c r="A61" s="119"/>
      <x:c r="B61" s="119"/>
      <x:c r="C61" s="119"/>
      <x:c r="D61" s="119"/>
      <x:c r="E61" s="119"/>
      <x:c r="F61" s="119"/>
      <x:c r="G61" s="119"/>
      <x:c r="H61" s="119"/>
      <x:c r="I61" s="119"/>
      <x:c r="J61" s="119"/>
      <x:c r="K61" s="119"/>
      <x:c r="L61" s="119"/>
      <x:c r="M61" s="119"/>
      <x:c r="N61" s="157"/>
      <x:c r="O61" s="119"/>
      <x:c r="P61" s="119"/>
    </x:row>
    <x:row r="62">
      <x:c r="A62" s="119"/>
      <x:c r="B62" s="119"/>
      <x:c r="C62" s="119"/>
      <x:c r="D62" s="119"/>
      <x:c r="E62" s="119"/>
      <x:c r="F62" s="119"/>
      <x:c r="G62" s="119"/>
      <x:c r="H62" s="119"/>
      <x:c r="I62" s="119"/>
      <x:c r="J62" s="119"/>
      <x:c r="K62" s="119"/>
      <x:c r="L62" s="119"/>
      <x:c r="M62" s="119"/>
      <x:c r="N62" s="157"/>
      <x:c r="O62" s="119"/>
      <x:c r="P62" s="119"/>
    </x:row>
    <x:row r="63">
      <x:c r="A63" s="119"/>
      <x:c r="B63" s="119"/>
      <x:c r="C63" s="119"/>
      <x:c r="D63" s="119"/>
      <x:c r="E63" s="119"/>
      <x:c r="F63" s="119"/>
      <x:c r="G63" s="119"/>
      <x:c r="H63" s="119"/>
      <x:c r="I63" s="119"/>
      <x:c r="J63" s="119"/>
      <x:c r="K63" s="119"/>
      <x:c r="L63" s="119"/>
      <x:c r="M63" s="119"/>
      <x:c r="N63" s="157"/>
      <x:c r="O63" s="119"/>
      <x:c r="P63" s="119"/>
    </x:row>
    <x:row r="64">
      <x:c r="A64" s="119"/>
      <x:c r="B64" s="119"/>
      <x:c r="C64" s="119"/>
      <x:c r="D64" s="119"/>
      <x:c r="E64" s="119"/>
      <x:c r="F64" s="119"/>
      <x:c r="G64" s="119"/>
      <x:c r="H64" s="119"/>
      <x:c r="I64" s="119"/>
      <x:c r="J64" s="119"/>
      <x:c r="K64" s="119"/>
      <x:c r="L64" s="119"/>
      <x:c r="M64" s="119"/>
      <x:c r="N64" s="157"/>
      <x:c r="O64" s="119"/>
      <x:c r="P64" s="119"/>
    </x:row>
    <x:row r="65">
      <x:c r="A65" s="119"/>
      <x:c r="B65" s="119"/>
      <x:c r="C65" s="119"/>
      <x:c r="D65" s="119"/>
      <x:c r="E65" s="119"/>
      <x:c r="F65" s="119"/>
      <x:c r="G65" s="119"/>
      <x:c r="H65" s="119"/>
      <x:c r="I65" s="119"/>
      <x:c r="J65" s="119"/>
      <x:c r="K65" s="119"/>
      <x:c r="L65" s="119"/>
      <x:c r="M65" s="119"/>
      <x:c r="N65" s="157"/>
      <x:c r="O65" s="119"/>
      <x:c r="P65" s="119"/>
    </x:row>
    <x:row r="66">
      <x:c r="A66" s="119"/>
      <x:c r="B66" s="119"/>
      <x:c r="C66" s="119"/>
      <x:c r="D66" s="119"/>
      <x:c r="E66" s="119"/>
      <x:c r="F66" s="119"/>
      <x:c r="G66" s="119"/>
      <x:c r="H66" s="119"/>
      <x:c r="I66" s="119"/>
      <x:c r="J66" s="119"/>
      <x:c r="K66" s="119"/>
      <x:c r="L66" s="119"/>
      <x:c r="M66" s="119"/>
      <x:c r="N66" s="157"/>
      <x:c r="O66" s="119"/>
      <x:c r="P66" s="119"/>
    </x:row>
    <x:row r="67">
      <x:c r="A67" s="119"/>
      <x:c r="B67" s="119"/>
      <x:c r="C67" s="119"/>
      <x:c r="D67" s="119"/>
      <x:c r="E67" s="119"/>
      <x:c r="F67" s="119"/>
      <x:c r="G67" s="119"/>
      <x:c r="H67" s="119"/>
      <x:c r="I67" s="119"/>
      <x:c r="J67" s="119"/>
      <x:c r="K67" s="119"/>
      <x:c r="L67" s="119"/>
      <x:c r="M67" s="119"/>
      <x:c r="N67" s="157"/>
      <x:c r="O67" s="119"/>
      <x:c r="P67" s="119"/>
    </x:row>
    <x:row r="68">
      <x:c r="A68" s="119"/>
      <x:c r="B68" s="119"/>
      <x:c r="C68" s="119"/>
      <x:c r="D68" s="119"/>
      <x:c r="E68" s="119"/>
      <x:c r="F68" s="119"/>
      <x:c r="G68" s="119"/>
      <x:c r="H68" s="119"/>
      <x:c r="I68" s="119"/>
      <x:c r="J68" s="119"/>
      <x:c r="K68" s="119"/>
      <x:c r="L68" s="119"/>
      <x:c r="M68" s="119"/>
      <x:c r="N68" s="157"/>
      <x:c r="O68" s="119"/>
      <x:c r="P68" s="119"/>
    </x:row>
    <x:row r="69">
      <x:c r="A69" s="119"/>
      <x:c r="B69" s="119"/>
      <x:c r="C69" s="119"/>
      <x:c r="D69" s="119"/>
      <x:c r="E69" s="119"/>
      <x:c r="F69" s="119"/>
      <x:c r="G69" s="119"/>
      <x:c r="H69" s="119"/>
      <x:c r="I69" s="119"/>
      <x:c r="J69" s="119"/>
      <x:c r="K69" s="119"/>
      <x:c r="L69" s="119"/>
      <x:c r="M69" s="119"/>
      <x:c r="N69" s="157"/>
      <x:c r="O69" s="119"/>
      <x:c r="P69" s="119"/>
    </x:row>
    <x:row r="70">
      <x:c r="A70" s="119"/>
      <x:c r="B70" s="119"/>
      <x:c r="C70" s="119"/>
      <x:c r="D70" s="119"/>
      <x:c r="E70" s="119"/>
      <x:c r="F70" s="119"/>
      <x:c r="G70" s="119"/>
      <x:c r="H70" s="119"/>
      <x:c r="I70" s="119"/>
      <x:c r="J70" s="119"/>
      <x:c r="K70" s="119"/>
      <x:c r="L70" s="119"/>
      <x:c r="M70" s="119"/>
      <x:c r="N70" s="157"/>
      <x:c r="O70" s="119"/>
      <x:c r="P70" s="119"/>
    </x:row>
    <x:row r="71">
      <x:c r="A71" s="119"/>
      <x:c r="B71" s="119"/>
      <x:c r="C71" s="119"/>
      <x:c r="D71" s="119"/>
      <x:c r="E71" s="119"/>
      <x:c r="F71" s="119"/>
      <x:c r="G71" s="119"/>
      <x:c r="H71" s="119"/>
      <x:c r="I71" s="119"/>
      <x:c r="J71" s="119"/>
      <x:c r="K71" s="119"/>
      <x:c r="L71" s="119"/>
      <x:c r="M71" s="119"/>
      <x:c r="N71" s="157"/>
      <x:c r="O71" s="119"/>
      <x:c r="P71" s="119"/>
    </x:row>
    <x:row r="72">
      <x:c r="A72" s="119"/>
      <x:c r="B72" s="119"/>
      <x:c r="C72" s="119"/>
      <x:c r="D72" s="119"/>
      <x:c r="E72" s="119"/>
      <x:c r="F72" s="119"/>
      <x:c r="G72" s="119"/>
      <x:c r="H72" s="119"/>
      <x:c r="I72" s="119"/>
      <x:c r="J72" s="119"/>
      <x:c r="K72" s="119"/>
      <x:c r="L72" s="119"/>
      <x:c r="M72" s="119"/>
      <x:c r="N72" s="157"/>
      <x:c r="O72" s="119"/>
      <x:c r="P72" s="119"/>
    </x:row>
    <x:row r="73">
      <x:c r="A73" s="119"/>
      <x:c r="B73" s="119"/>
      <x:c r="C73" s="119"/>
      <x:c r="D73" s="119"/>
      <x:c r="E73" s="119"/>
      <x:c r="F73" s="119"/>
      <x:c r="G73" s="119"/>
      <x:c r="H73" s="119"/>
      <x:c r="I73" s="119"/>
      <x:c r="J73" s="119"/>
      <x:c r="K73" s="119"/>
      <x:c r="L73" s="119"/>
      <x:c r="M73" s="119"/>
      <x:c r="N73" s="157"/>
      <x:c r="O73" s="119"/>
      <x:c r="P73" s="119"/>
    </x:row>
    <x:row r="74">
      <x:c r="A74" s="119"/>
      <x:c r="B74" s="119"/>
      <x:c r="C74" s="119"/>
      <x:c r="D74" s="119"/>
      <x:c r="E74" s="119"/>
      <x:c r="F74" s="119"/>
      <x:c r="G74" s="119"/>
      <x:c r="H74" s="119"/>
      <x:c r="I74" s="119"/>
      <x:c r="J74" s="119"/>
      <x:c r="K74" s="119"/>
      <x:c r="L74" s="119"/>
      <x:c r="M74" s="119"/>
      <x:c r="N74" s="157"/>
      <x:c r="O74" s="119"/>
      <x:c r="P74" s="119"/>
    </x:row>
    <x:row r="75">
      <x:c r="A75" s="119"/>
      <x:c r="B75" s="119"/>
      <x:c r="C75" s="119"/>
      <x:c r="D75" s="119"/>
      <x:c r="E75" s="119"/>
      <x:c r="F75" s="119"/>
      <x:c r="G75" s="119"/>
      <x:c r="H75" s="119"/>
      <x:c r="I75" s="119"/>
      <x:c r="J75" s="119"/>
      <x:c r="K75" s="119"/>
      <x:c r="L75" s="119"/>
      <x:c r="M75" s="119"/>
      <x:c r="N75" s="157"/>
      <x:c r="O75" s="119"/>
      <x:c r="P75" s="119"/>
    </x:row>
    <x:row r="76">
      <x:c r="A76" s="119"/>
      <x:c r="B76" s="119"/>
      <x:c r="C76" s="119"/>
      <x:c r="D76" s="119"/>
      <x:c r="E76" s="119"/>
      <x:c r="F76" s="119"/>
      <x:c r="G76" s="119"/>
      <x:c r="H76" s="119"/>
      <x:c r="I76" s="119"/>
      <x:c r="J76" s="119"/>
      <x:c r="K76" s="119"/>
      <x:c r="L76" s="119"/>
      <x:c r="M76" s="119"/>
      <x:c r="N76" s="157"/>
      <x:c r="O76" s="119"/>
      <x:c r="P76" s="119"/>
    </x:row>
    <x:row r="77">
      <x:c r="A77" s="119"/>
      <x:c r="B77" s="119"/>
      <x:c r="C77" s="119"/>
      <x:c r="D77" s="119"/>
      <x:c r="E77" s="119"/>
      <x:c r="F77" s="119"/>
      <x:c r="G77" s="119"/>
      <x:c r="H77" s="119"/>
      <x:c r="I77" s="119"/>
      <x:c r="J77" s="119"/>
      <x:c r="K77" s="119"/>
      <x:c r="L77" s="119"/>
      <x:c r="M77" s="119"/>
      <x:c r="N77" s="157"/>
      <x:c r="O77" s="119"/>
      <x:c r="P77" s="119"/>
    </x:row>
    <x:row r="78">
      <x:c r="A78" s="119"/>
      <x:c r="B78" s="119"/>
      <x:c r="C78" s="119"/>
      <x:c r="D78" s="119"/>
      <x:c r="E78" s="119"/>
      <x:c r="F78" s="119"/>
      <x:c r="G78" s="119"/>
      <x:c r="H78" s="119"/>
      <x:c r="I78" s="119"/>
      <x:c r="J78" s="119"/>
      <x:c r="K78" s="119"/>
      <x:c r="L78" s="119"/>
      <x:c r="M78" s="119"/>
      <x:c r="N78" s="157"/>
      <x:c r="O78" s="119"/>
      <x:c r="P78" s="119"/>
    </x:row>
    <x:row r="79">
      <x:c r="A79" s="119"/>
      <x:c r="B79" s="119"/>
      <x:c r="C79" s="119"/>
      <x:c r="D79" s="119"/>
      <x:c r="E79" s="119"/>
      <x:c r="F79" s="119"/>
      <x:c r="G79" s="119"/>
      <x:c r="H79" s="119"/>
      <x:c r="I79" s="119"/>
      <x:c r="J79" s="119"/>
      <x:c r="K79" s="119"/>
      <x:c r="L79" s="119"/>
      <x:c r="M79" s="119"/>
      <x:c r="N79" s="157"/>
      <x:c r="O79" s="119"/>
      <x:c r="P79" s="119"/>
    </x:row>
    <x:row r="80">
      <x:c r="A80" s="119"/>
      <x:c r="B80" s="119"/>
      <x:c r="C80" s="119"/>
      <x:c r="D80" s="119"/>
      <x:c r="E80" s="119"/>
      <x:c r="F80" s="119"/>
      <x:c r="G80" s="119"/>
      <x:c r="H80" s="119"/>
      <x:c r="I80" s="119"/>
      <x:c r="J80" s="119"/>
      <x:c r="K80" s="119"/>
      <x:c r="L80" s="119"/>
      <x:c r="M80" s="119"/>
      <x:c r="N80" s="157"/>
      <x:c r="O80" s="119"/>
      <x:c r="P80" s="119"/>
    </x:row>
    <x:row r="81">
      <x:c r="A81" s="119"/>
      <x:c r="B81" s="119"/>
      <x:c r="C81" s="119"/>
      <x:c r="D81" s="119"/>
      <x:c r="E81" s="119"/>
      <x:c r="F81" s="119"/>
      <x:c r="G81" s="119"/>
      <x:c r="H81" s="119"/>
      <x:c r="I81" s="119"/>
      <x:c r="J81" s="119"/>
      <x:c r="K81" s="119"/>
      <x:c r="L81" s="119"/>
      <x:c r="M81" s="119"/>
      <x:c r="N81" s="157"/>
      <x:c r="O81" s="119"/>
      <x:c r="P81" s="119"/>
    </x:row>
    <x:row r="82">
      <x:c r="A82" s="119"/>
      <x:c r="B82" s="119"/>
      <x:c r="C82" s="119"/>
      <x:c r="D82" s="119"/>
      <x:c r="E82" s="119"/>
      <x:c r="F82" s="119"/>
      <x:c r="G82" s="119"/>
      <x:c r="H82" s="119"/>
      <x:c r="I82" s="119"/>
      <x:c r="J82" s="119"/>
      <x:c r="K82" s="119"/>
      <x:c r="L82" s="119"/>
      <x:c r="M82" s="119"/>
      <x:c r="N82" s="157"/>
      <x:c r="O82" s="119"/>
      <x:c r="P82" s="119"/>
    </x:row>
    <x:row r="83">
      <x:c r="A83" s="119"/>
      <x:c r="B83" s="119"/>
      <x:c r="C83" s="119"/>
      <x:c r="D83" s="119"/>
      <x:c r="E83" s="119"/>
      <x:c r="F83" s="119"/>
      <x:c r="G83" s="119"/>
      <x:c r="H83" s="119"/>
      <x:c r="I83" s="119"/>
      <x:c r="J83" s="119"/>
      <x:c r="K83" s="119"/>
      <x:c r="L83" s="119"/>
      <x:c r="M83" s="119"/>
      <x:c r="N83" s="157"/>
      <x:c r="O83" s="119"/>
      <x:c r="P83" s="119"/>
    </x:row>
    <x:row r="84">
      <x:c r="A84" s="119"/>
      <x:c r="B84" s="119"/>
      <x:c r="C84" s="119"/>
      <x:c r="D84" s="119"/>
      <x:c r="E84" s="119"/>
      <x:c r="F84" s="119"/>
      <x:c r="G84" s="119"/>
      <x:c r="H84" s="119"/>
      <x:c r="I84" s="119"/>
      <x:c r="J84" s="119"/>
      <x:c r="K84" s="119"/>
      <x:c r="L84" s="119"/>
      <x:c r="M84" s="119"/>
      <x:c r="N84" s="157"/>
      <x:c r="O84" s="119"/>
      <x:c r="P84" s="119"/>
    </x:row>
    <x:row r="85">
      <x:c r="A85" s="119"/>
      <x:c r="B85" s="119"/>
      <x:c r="C85" s="119"/>
      <x:c r="D85" s="119"/>
      <x:c r="E85" s="119"/>
      <x:c r="F85" s="119"/>
      <x:c r="G85" s="119"/>
      <x:c r="H85" s="119"/>
      <x:c r="I85" s="119"/>
      <x:c r="J85" s="119"/>
      <x:c r="K85" s="119"/>
      <x:c r="L85" s="119"/>
      <x:c r="M85" s="119"/>
      <x:c r="N85" s="157"/>
      <x:c r="O85" s="119"/>
      <x:c r="P85" s="119"/>
    </x:row>
    <x:row r="86">
      <x:c r="A86" s="119"/>
      <x:c r="B86" s="119"/>
      <x:c r="C86" s="119"/>
      <x:c r="D86" s="119"/>
      <x:c r="E86" s="119"/>
      <x:c r="F86" s="119"/>
      <x:c r="G86" s="119"/>
      <x:c r="H86" s="119"/>
      <x:c r="I86" s="119"/>
      <x:c r="J86" s="119"/>
      <x:c r="K86" s="119"/>
      <x:c r="L86" s="119"/>
      <x:c r="M86" s="119"/>
      <x:c r="N86" s="157"/>
      <x:c r="O86" s="119"/>
      <x:c r="P86" s="119"/>
    </x:row>
    <x:row r="87">
      <x:c r="A87" s="119"/>
      <x:c r="B87" s="119"/>
      <x:c r="C87" s="119"/>
      <x:c r="D87" s="119"/>
      <x:c r="E87" s="119"/>
      <x:c r="F87" s="119"/>
      <x:c r="G87" s="119"/>
      <x:c r="H87" s="119"/>
      <x:c r="I87" s="119"/>
      <x:c r="J87" s="119"/>
      <x:c r="K87" s="119"/>
      <x:c r="L87" s="119"/>
      <x:c r="M87" s="119"/>
      <x:c r="N87" s="157"/>
      <x:c r="O87" s="119"/>
      <x:c r="P87" s="119"/>
    </x:row>
    <x:row r="88">
      <x:c r="A88" s="119"/>
      <x:c r="B88" s="119"/>
      <x:c r="C88" s="119"/>
      <x:c r="D88" s="119"/>
      <x:c r="E88" s="119"/>
      <x:c r="F88" s="119"/>
      <x:c r="G88" s="119"/>
      <x:c r="H88" s="119"/>
      <x:c r="I88" s="119"/>
      <x:c r="J88" s="119"/>
      <x:c r="K88" s="119"/>
      <x:c r="L88" s="119"/>
      <x:c r="M88" s="119"/>
      <x:c r="N88" s="157"/>
      <x:c r="O88" s="119"/>
      <x:c r="P88" s="119"/>
    </x:row>
    <x:row r="89">
      <x:c r="A89" s="119"/>
      <x:c r="B89" s="119"/>
      <x:c r="C89" s="119"/>
      <x:c r="D89" s="119"/>
      <x:c r="E89" s="119"/>
      <x:c r="F89" s="119"/>
      <x:c r="G89" s="119"/>
      <x:c r="H89" s="119"/>
      <x:c r="I89" s="119"/>
      <x:c r="J89" s="119"/>
      <x:c r="K89" s="119"/>
      <x:c r="L89" s="119"/>
      <x:c r="M89" s="119"/>
      <x:c r="N89" s="157"/>
      <x:c r="O89" s="119"/>
      <x:c r="P89" s="119"/>
    </x:row>
    <x:row r="90">
      <x:c r="A90" s="119"/>
      <x:c r="B90" s="119"/>
      <x:c r="C90" s="119"/>
      <x:c r="D90" s="119"/>
      <x:c r="E90" s="119"/>
      <x:c r="F90" s="119"/>
      <x:c r="G90" s="119"/>
      <x:c r="H90" s="119"/>
      <x:c r="I90" s="119"/>
      <x:c r="J90" s="119"/>
      <x:c r="K90" s="119"/>
      <x:c r="L90" s="119"/>
      <x:c r="M90" s="119"/>
      <x:c r="N90" s="157"/>
      <x:c r="O90" s="119"/>
      <x:c r="P90" s="119"/>
    </x:row>
    <x:row r="91">
      <x:c r="A91" s="119"/>
      <x:c r="B91" s="119"/>
      <x:c r="C91" s="119"/>
      <x:c r="D91" s="119"/>
      <x:c r="E91" s="119"/>
      <x:c r="F91" s="119"/>
      <x:c r="G91" s="119"/>
      <x:c r="H91" s="119"/>
      <x:c r="I91" s="119"/>
      <x:c r="J91" s="119"/>
      <x:c r="K91" s="119"/>
      <x:c r="L91" s="119"/>
      <x:c r="M91" s="119"/>
      <x:c r="N91" s="157"/>
      <x:c r="O91" s="119"/>
      <x:c r="P91" s="119"/>
    </x:row>
    <x:row r="92">
      <x:c r="A92" s="119"/>
      <x:c r="B92" s="119"/>
      <x:c r="C92" s="119"/>
      <x:c r="D92" s="119"/>
      <x:c r="E92" s="119"/>
      <x:c r="F92" s="119"/>
      <x:c r="G92" s="119"/>
      <x:c r="H92" s="119"/>
      <x:c r="I92" s="119"/>
      <x:c r="J92" s="119"/>
      <x:c r="K92" s="119"/>
      <x:c r="L92" s="119"/>
      <x:c r="M92" s="119"/>
      <x:c r="N92" s="157"/>
      <x:c r="O92" s="119"/>
      <x:c r="P92" s="119"/>
    </x:row>
    <x:row r="93">
      <x:c r="A93" s="119"/>
      <x:c r="B93" s="119"/>
      <x:c r="C93" s="119"/>
      <x:c r="D93" s="119"/>
      <x:c r="E93" s="119"/>
      <x:c r="F93" s="119"/>
      <x:c r="G93" s="119"/>
      <x:c r="H93" s="119"/>
      <x:c r="I93" s="119"/>
      <x:c r="J93" s="119"/>
      <x:c r="K93" s="119"/>
      <x:c r="L93" s="119"/>
      <x:c r="M93" s="119"/>
      <x:c r="N93" s="157"/>
      <x:c r="O93" s="119"/>
      <x:c r="P93" s="119"/>
    </x:row>
    <x:row r="94">
      <x:c r="A94" s="119"/>
      <x:c r="B94" s="119"/>
      <x:c r="C94" s="119"/>
      <x:c r="D94" s="119"/>
      <x:c r="E94" s="119"/>
      <x:c r="F94" s="119"/>
      <x:c r="G94" s="119"/>
      <x:c r="H94" s="119"/>
      <x:c r="I94" s="119"/>
      <x:c r="J94" s="119"/>
      <x:c r="K94" s="119"/>
      <x:c r="L94" s="119"/>
      <x:c r="M94" s="119"/>
      <x:c r="N94" s="157"/>
      <x:c r="O94" s="119"/>
      <x:c r="P94" s="119"/>
    </x:row>
    <x:row r="95">
      <x:c r="A95" s="119"/>
      <x:c r="B95" s="119"/>
      <x:c r="C95" s="119"/>
      <x:c r="D95" s="119"/>
      <x:c r="E95" s="119"/>
      <x:c r="F95" s="119"/>
      <x:c r="G95" s="119"/>
      <x:c r="H95" s="119"/>
      <x:c r="I95" s="119"/>
      <x:c r="J95" s="119"/>
      <x:c r="K95" s="119"/>
      <x:c r="L95" s="119"/>
      <x:c r="M95" s="119"/>
      <x:c r="N95" s="157"/>
      <x:c r="O95" s="119"/>
      <x:c r="P95" s="119"/>
    </x:row>
    <x:row r="96">
      <x:c r="A96" s="119"/>
      <x:c r="B96" s="119"/>
      <x:c r="C96" s="119"/>
      <x:c r="D96" s="119"/>
      <x:c r="E96" s="119"/>
      <x:c r="F96" s="119"/>
      <x:c r="G96" s="119"/>
      <x:c r="H96" s="119"/>
      <x:c r="I96" s="119"/>
      <x:c r="J96" s="119"/>
      <x:c r="K96" s="119"/>
      <x:c r="L96" s="119"/>
      <x:c r="M96" s="119"/>
      <x:c r="N96" s="157"/>
      <x:c r="O96" s="119"/>
      <x:c r="P96" s="119"/>
    </x:row>
    <x:row r="97">
      <x:c r="A97" s="119"/>
      <x:c r="B97" s="119"/>
      <x:c r="C97" s="119"/>
      <x:c r="D97" s="119"/>
      <x:c r="E97" s="119"/>
      <x:c r="F97" s="119"/>
      <x:c r="G97" s="119"/>
      <x:c r="H97" s="119"/>
      <x:c r="I97" s="119"/>
      <x:c r="J97" s="119"/>
      <x:c r="K97" s="119"/>
      <x:c r="L97" s="119"/>
      <x:c r="M97" s="119"/>
      <x:c r="N97" s="157"/>
      <x:c r="O97" s="119"/>
      <x:c r="P97" s="119"/>
    </x:row>
    <x:row r="98">
      <x:c r="A98" s="119"/>
      <x:c r="B98" s="119"/>
      <x:c r="C98" s="119"/>
      <x:c r="D98" s="119"/>
      <x:c r="E98" s="119"/>
      <x:c r="F98" s="119"/>
      <x:c r="G98" s="119"/>
      <x:c r="H98" s="119"/>
      <x:c r="I98" s="119"/>
      <x:c r="J98" s="119"/>
      <x:c r="K98" s="119"/>
      <x:c r="L98" s="119"/>
      <x:c r="M98" s="119"/>
      <x:c r="N98" s="157"/>
      <x:c r="O98" s="119"/>
      <x:c r="P98" s="119"/>
    </x:row>
    <x:row r="99">
      <x:c r="A99" s="119"/>
      <x:c r="B99" s="119"/>
      <x:c r="C99" s="119"/>
      <x:c r="D99" s="119"/>
      <x:c r="E99" s="119"/>
      <x:c r="F99" s="119"/>
      <x:c r="G99" s="119"/>
      <x:c r="H99" s="119"/>
      <x:c r="I99" s="119"/>
      <x:c r="J99" s="119"/>
      <x:c r="K99" s="119"/>
      <x:c r="L99" s="119"/>
      <x:c r="M99" s="119"/>
      <x:c r="N99" s="157"/>
      <x:c r="O99" s="119"/>
      <x:c r="P99" s="119"/>
    </x:row>
    <x:row r="100">
      <x:c r="A100" s="119"/>
      <x:c r="B100" s="119"/>
      <x:c r="C100" s="119"/>
      <x:c r="D100" s="119"/>
      <x:c r="E100" s="119"/>
      <x:c r="F100" s="119"/>
      <x:c r="G100" s="119"/>
      <x:c r="H100" s="119"/>
      <x:c r="I100" s="119"/>
      <x:c r="J100" s="119"/>
      <x:c r="K100" s="119"/>
      <x:c r="L100" s="119"/>
      <x:c r="M100" s="119"/>
      <x:c r="N100" s="157"/>
      <x:c r="O100" s="119"/>
      <x:c r="P100" s="119"/>
    </x:row>
    <x:row r="101">
      <x:c r="A101" s="119"/>
      <x:c r="B101" s="119"/>
      <x:c r="C101" s="119"/>
      <x:c r="D101" s="119"/>
      <x:c r="E101" s="119"/>
      <x:c r="F101" s="119"/>
      <x:c r="G101" s="119"/>
      <x:c r="H101" s="119"/>
      <x:c r="I101" s="119"/>
      <x:c r="J101" s="119"/>
      <x:c r="K101" s="119"/>
      <x:c r="L101" s="119"/>
      <x:c r="M101" s="119"/>
      <x:c r="N101" s="119"/>
      <x:c r="O101" s="119"/>
      <x:c r="P101" s="119"/>
    </x:row>
    <x:row r="102">
      <x:c r="A102" s="119"/>
      <x:c r="B102" s="119"/>
      <x:c r="C102" s="119"/>
      <x:c r="D102" s="119"/>
      <x:c r="E102" s="119"/>
      <x:c r="F102" s="119"/>
      <x:c r="G102" s="119"/>
      <x:c r="H102" s="119"/>
      <x:c r="I102" s="119"/>
      <x:c r="J102" s="119"/>
      <x:c r="K102" s="119"/>
      <x:c r="L102" s="119"/>
      <x:c r="M102" s="119"/>
      <x:c r="N102" s="119"/>
      <x:c r="O102" s="119"/>
      <x:c r="P102" s="119"/>
    </x:row>
    <x:row r="103">
      <x:c r="A103" s="119"/>
      <x:c r="B103" s="119"/>
      <x:c r="C103" s="119"/>
      <x:c r="D103" s="119"/>
      <x:c r="E103" s="119"/>
      <x:c r="F103" s="119"/>
      <x:c r="G103" s="119"/>
      <x:c r="H103" s="119"/>
      <x:c r="I103" s="119"/>
      <x:c r="J103" s="119"/>
      <x:c r="K103" s="119"/>
      <x:c r="L103" s="119"/>
      <x:c r="M103" s="119"/>
      <x:c r="N103" s="119"/>
      <x:c r="O103" s="119"/>
      <x:c r="P103" s="119"/>
    </x:row>
    <x:row r="104">
      <x:c r="A104" s="119"/>
      <x:c r="B104" s="119"/>
      <x:c r="C104" s="119"/>
      <x:c r="D104" s="119"/>
      <x:c r="E104" s="119"/>
      <x:c r="F104" s="119"/>
      <x:c r="G104" s="119"/>
      <x:c r="H104" s="119"/>
      <x:c r="I104" s="119"/>
      <x:c r="J104" s="119"/>
      <x:c r="K104" s="119"/>
      <x:c r="L104" s="119"/>
      <x:c r="M104" s="119"/>
      <x:c r="N104" s="119"/>
      <x:c r="O104" s="119"/>
      <x:c r="P104" s="119"/>
    </x:row>
    <x:row r="105">
      <x:c r="A105" s="119"/>
      <x:c r="B105" s="119"/>
      <x:c r="C105" s="119"/>
      <x:c r="D105" s="119"/>
      <x:c r="E105" s="119"/>
      <x:c r="F105" s="119"/>
      <x:c r="G105" s="119"/>
      <x:c r="H105" s="119"/>
      <x:c r="I105" s="119"/>
      <x:c r="J105" s="119"/>
      <x:c r="K105" s="119"/>
      <x:c r="L105" s="119"/>
      <x:c r="M105" s="119"/>
      <x:c r="N105" s="119"/>
      <x:c r="O105" s="119"/>
      <x:c r="P105" s="119"/>
    </x:row>
    <x:row r="106">
      <x:c r="A106" s="119"/>
      <x:c r="B106" s="119"/>
      <x:c r="C106" s="119"/>
      <x:c r="D106" s="119"/>
      <x:c r="E106" s="119"/>
      <x:c r="F106" s="119"/>
      <x:c r="G106" s="119"/>
      <x:c r="H106" s="119"/>
      <x:c r="I106" s="119"/>
      <x:c r="J106" s="119"/>
      <x:c r="K106" s="119"/>
      <x:c r="L106" s="119"/>
      <x:c r="M106" s="119"/>
      <x:c r="N106" s="119"/>
      <x:c r="O106" s="119"/>
      <x:c r="P106" s="119"/>
    </x:row>
    <x:row r="107">
      <x:c r="A107" s="119"/>
      <x:c r="B107" s="119"/>
      <x:c r="C107" s="119"/>
      <x:c r="D107" s="119"/>
      <x:c r="E107" s="119"/>
      <x:c r="F107" s="119"/>
      <x:c r="G107" s="119"/>
      <x:c r="H107" s="119"/>
      <x:c r="I107" s="119"/>
      <x:c r="J107" s="119"/>
      <x:c r="K107" s="119"/>
      <x:c r="L107" s="119"/>
      <x:c r="M107" s="119"/>
      <x:c r="N107" s="119"/>
      <x:c r="O107" s="119"/>
      <x:c r="P107" s="119"/>
    </x:row>
    <x:row r="108">
      <x:c r="A108" s="119"/>
      <x:c r="B108" s="119"/>
      <x:c r="C108" s="119"/>
      <x:c r="D108" s="119"/>
      <x:c r="E108" s="119"/>
      <x:c r="F108" s="119"/>
      <x:c r="G108" s="119"/>
      <x:c r="H108" s="119"/>
      <x:c r="I108" s="119"/>
      <x:c r="J108" s="119"/>
      <x:c r="K108" s="119"/>
      <x:c r="L108" s="119"/>
      <x:c r="M108" s="119"/>
      <x:c r="N108" s="119"/>
      <x:c r="O108" s="119"/>
      <x:c r="P108" s="119"/>
    </x:row>
    <x:row r="109">
      <x:c r="A109" s="119"/>
      <x:c r="B109" s="119"/>
      <x:c r="C109" s="119"/>
      <x:c r="D109" s="119"/>
      <x:c r="E109" s="119"/>
      <x:c r="F109" s="119"/>
      <x:c r="G109" s="119"/>
      <x:c r="H109" s="119"/>
      <x:c r="I109" s="119"/>
      <x:c r="J109" s="119"/>
      <x:c r="K109" s="119"/>
      <x:c r="L109" s="119"/>
      <x:c r="M109" s="119"/>
      <x:c r="N109" s="119"/>
      <x:c r="O109" s="119"/>
      <x:c r="P109" s="119"/>
    </x:row>
    <x:row r="110">
      <x:c r="A110" s="119"/>
      <x:c r="B110" s="119"/>
      <x:c r="C110" s="119"/>
      <x:c r="D110" s="119"/>
      <x:c r="E110" s="119"/>
      <x:c r="F110" s="119"/>
      <x:c r="G110" s="119"/>
      <x:c r="H110" s="119"/>
      <x:c r="I110" s="119"/>
      <x:c r="J110" s="119"/>
      <x:c r="K110" s="119"/>
      <x:c r="L110" s="119"/>
      <x:c r="M110" s="119"/>
      <x:c r="N110" s="119"/>
      <x:c r="O110" s="119"/>
      <x:c r="P110" s="119"/>
    </x:row>
    <x:row r="111">
      <x:c r="A111" s="119"/>
      <x:c r="B111" s="119"/>
      <x:c r="C111" s="119"/>
      <x:c r="D111" s="119"/>
      <x:c r="E111" s="119"/>
      <x:c r="F111" s="119"/>
      <x:c r="G111" s="119"/>
      <x:c r="H111" s="119"/>
      <x:c r="I111" s="119"/>
      <x:c r="J111" s="119"/>
      <x:c r="K111" s="119"/>
      <x:c r="L111" s="119"/>
      <x:c r="M111" s="119"/>
      <x:c r="N111" s="119"/>
      <x:c r="O111" s="119"/>
      <x:c r="P111" s="119"/>
    </x:row>
    <x:row r="112">
      <x:c r="A112" s="119"/>
      <x:c r="B112" s="119"/>
      <x:c r="C112" s="119"/>
      <x:c r="D112" s="119"/>
      <x:c r="E112" s="119"/>
      <x:c r="F112" s="119"/>
      <x:c r="G112" s="119"/>
      <x:c r="H112" s="119"/>
      <x:c r="I112" s="119"/>
      <x:c r="J112" s="119"/>
      <x:c r="K112" s="119"/>
      <x:c r="L112" s="119"/>
      <x:c r="M112" s="119"/>
      <x:c r="N112" s="119"/>
      <x:c r="O112" s="119"/>
      <x:c r="P112" s="119"/>
    </x:row>
    <x:row r="113">
      <x:c r="A113" s="119"/>
      <x:c r="B113" s="119"/>
      <x:c r="C113" s="119"/>
      <x:c r="D113" s="119"/>
      <x:c r="E113" s="119"/>
      <x:c r="F113" s="119"/>
      <x:c r="G113" s="119"/>
      <x:c r="H113" s="119"/>
      <x:c r="I113" s="119"/>
      <x:c r="J113" s="119"/>
      <x:c r="K113" s="119"/>
      <x:c r="L113" s="119"/>
      <x:c r="M113" s="119"/>
      <x:c r="N113" s="119"/>
      <x:c r="O113" s="119"/>
      <x:c r="P113" s="119"/>
    </x:row>
    <x:row r="114">
      <x:c r="A114" s="119"/>
      <x:c r="B114" s="119"/>
      <x:c r="C114" s="119"/>
      <x:c r="D114" s="119"/>
      <x:c r="E114" s="119"/>
      <x:c r="F114" s="119"/>
      <x:c r="G114" s="119"/>
      <x:c r="H114" s="119"/>
      <x:c r="I114" s="119"/>
      <x:c r="J114" s="119"/>
      <x:c r="K114" s="119"/>
      <x:c r="L114" s="119"/>
      <x:c r="M114" s="119"/>
      <x:c r="N114" s="119"/>
      <x:c r="O114" s="119"/>
      <x:c r="P114" s="119"/>
    </x:row>
    <x:row r="115">
      <x:c r="A115" s="119"/>
      <x:c r="B115" s="119"/>
      <x:c r="C115" s="119"/>
      <x:c r="D115" s="119"/>
      <x:c r="E115" s="119"/>
      <x:c r="F115" s="119"/>
      <x:c r="G115" s="119"/>
      <x:c r="H115" s="119"/>
      <x:c r="I115" s="119"/>
      <x:c r="J115" s="119"/>
      <x:c r="K115" s="119"/>
      <x:c r="L115" s="119"/>
      <x:c r="M115" s="119"/>
      <x:c r="N115" s="119"/>
      <x:c r="O115" s="119"/>
      <x:c r="P115" s="119"/>
    </x:row>
    <x:row r="116">
      <x:c r="A116" s="119"/>
      <x:c r="B116" s="119"/>
      <x:c r="C116" s="119"/>
      <x:c r="D116" s="119"/>
      <x:c r="E116" s="119"/>
      <x:c r="F116" s="119"/>
      <x:c r="G116" s="119"/>
      <x:c r="H116" s="119"/>
      <x:c r="I116" s="119"/>
      <x:c r="J116" s="119"/>
      <x:c r="K116" s="119"/>
      <x:c r="L116" s="119"/>
      <x:c r="M116" s="119"/>
      <x:c r="N116" s="119"/>
      <x:c r="O116" s="119"/>
      <x:c r="P116" s="119"/>
    </x:row>
    <x:row r="117">
      <x:c r="A117" s="119"/>
      <x:c r="B117" s="119"/>
      <x:c r="C117" s="119"/>
      <x:c r="D117" s="119"/>
      <x:c r="E117" s="119"/>
      <x:c r="F117" s="119"/>
      <x:c r="G117" s="119"/>
      <x:c r="H117" s="119"/>
      <x:c r="I117" s="119"/>
      <x:c r="J117" s="119"/>
      <x:c r="K117" s="119"/>
      <x:c r="L117" s="119"/>
      <x:c r="M117" s="119"/>
      <x:c r="N117" s="119"/>
      <x:c r="O117" s="119"/>
      <x:c r="P117" s="119"/>
    </x:row>
    <x:row r="118">
      <x:c r="A118" s="119"/>
      <x:c r="B118" s="119"/>
      <x:c r="C118" s="119"/>
      <x:c r="D118" s="119"/>
      <x:c r="E118" s="119"/>
      <x:c r="F118" s="119"/>
      <x:c r="G118" s="119"/>
      <x:c r="H118" s="119"/>
      <x:c r="I118" s="119"/>
      <x:c r="J118" s="119"/>
      <x:c r="K118" s="119"/>
      <x:c r="L118" s="119"/>
      <x:c r="M118" s="119"/>
      <x:c r="N118" s="119"/>
      <x:c r="O118" s="119"/>
      <x:c r="P118" s="119"/>
    </x:row>
    <x:row r="119">
      <x:c r="A119" s="119"/>
      <x:c r="B119" s="119"/>
      <x:c r="C119" s="119"/>
      <x:c r="D119" s="119"/>
      <x:c r="E119" s="119"/>
      <x:c r="F119" s="119"/>
      <x:c r="G119" s="119"/>
      <x:c r="H119" s="119"/>
      <x:c r="I119" s="119"/>
      <x:c r="J119" s="119"/>
      <x:c r="K119" s="119"/>
      <x:c r="L119" s="119"/>
      <x:c r="M119" s="119"/>
      <x:c r="N119" s="119"/>
      <x:c r="O119" s="119"/>
      <x:c r="P119" s="119"/>
    </x:row>
    <x:row r="120">
      <x:c r="A120" s="119"/>
      <x:c r="B120" s="119"/>
      <x:c r="C120" s="119"/>
      <x:c r="D120" s="119"/>
      <x:c r="E120" s="119"/>
      <x:c r="F120" s="119"/>
      <x:c r="G120" s="119"/>
      <x:c r="H120" s="119"/>
      <x:c r="I120" s="119"/>
      <x:c r="J120" s="119"/>
      <x:c r="K120" s="119"/>
      <x:c r="L120" s="119"/>
      <x:c r="M120" s="119"/>
      <x:c r="N120" s="119"/>
      <x:c r="O120" s="119"/>
      <x:c r="P120" s="119"/>
    </x:row>
    <x:row r="121">
      <x:c r="A121" s="119"/>
      <x:c r="B121" s="119"/>
      <x:c r="C121" s="119"/>
      <x:c r="D121" s="119"/>
      <x:c r="E121" s="119"/>
      <x:c r="F121" s="119"/>
      <x:c r="G121" s="119"/>
      <x:c r="H121" s="119"/>
      <x:c r="I121" s="119"/>
      <x:c r="J121" s="119"/>
      <x:c r="K121" s="119"/>
      <x:c r="L121" s="119"/>
      <x:c r="M121" s="119"/>
      <x:c r="N121" s="119"/>
      <x:c r="O121" s="119"/>
      <x:c r="P121" s="119"/>
    </x:row>
    <x:row r="122">
      <x:c r="A122" s="119"/>
      <x:c r="B122" s="119"/>
      <x:c r="C122" s="119"/>
      <x:c r="D122" s="119"/>
      <x:c r="E122" s="119"/>
      <x:c r="F122" s="119"/>
      <x:c r="G122" s="119"/>
      <x:c r="H122" s="119"/>
      <x:c r="I122" s="119"/>
      <x:c r="J122" s="119"/>
      <x:c r="K122" s="119"/>
      <x:c r="L122" s="119"/>
      <x:c r="M122" s="119"/>
      <x:c r="N122" s="119"/>
      <x:c r="O122" s="119"/>
      <x:c r="P122" s="119"/>
    </x:row>
    <x:row r="123">
      <x:c r="A123" s="119"/>
      <x:c r="B123" s="119"/>
      <x:c r="C123" s="119"/>
      <x:c r="D123" s="119"/>
      <x:c r="E123" s="119"/>
      <x:c r="F123" s="119"/>
      <x:c r="G123" s="119"/>
      <x:c r="H123" s="119"/>
      <x:c r="I123" s="119"/>
      <x:c r="J123" s="119"/>
      <x:c r="K123" s="119"/>
      <x:c r="L123" s="119"/>
      <x:c r="M123" s="119"/>
      <x:c r="N123" s="119"/>
      <x:c r="O123" s="119"/>
      <x:c r="P123" s="119"/>
    </x:row>
    <x:row r="124">
      <x:c r="A124" s="119"/>
      <x:c r="B124" s="119"/>
      <x:c r="C124" s="119"/>
      <x:c r="D124" s="119"/>
      <x:c r="E124" s="119"/>
      <x:c r="F124" s="119"/>
      <x:c r="G124" s="119"/>
      <x:c r="H124" s="119"/>
      <x:c r="I124" s="119"/>
      <x:c r="J124" s="119"/>
      <x:c r="K124" s="119"/>
      <x:c r="L124" s="119"/>
      <x:c r="M124" s="119"/>
      <x:c r="N124" s="119"/>
      <x:c r="O124" s="119"/>
      <x:c r="P124" s="119"/>
    </x:row>
    <x:row r="125">
      <x:c r="A125" s="119"/>
      <x:c r="B125" s="119"/>
      <x:c r="C125" s="119"/>
      <x:c r="D125" s="119"/>
      <x:c r="E125" s="119"/>
      <x:c r="F125" s="119"/>
      <x:c r="G125" s="119"/>
      <x:c r="H125" s="119"/>
      <x:c r="I125" s="119"/>
      <x:c r="J125" s="119"/>
      <x:c r="K125" s="119"/>
      <x:c r="L125" s="119"/>
      <x:c r="M125" s="119"/>
      <x:c r="N125" s="119"/>
      <x:c r="O125" s="119"/>
      <x:c r="P125" s="119"/>
    </x:row>
    <x:row r="126">
      <x:c r="A126" s="119"/>
      <x:c r="B126" s="119"/>
      <x:c r="C126" s="119"/>
      <x:c r="D126" s="119"/>
      <x:c r="E126" s="119"/>
      <x:c r="F126" s="119"/>
      <x:c r="G126" s="119"/>
      <x:c r="H126" s="119"/>
      <x:c r="I126" s="119"/>
      <x:c r="J126" s="119"/>
      <x:c r="K126" s="119"/>
      <x:c r="L126" s="119"/>
      <x:c r="M126" s="119"/>
      <x:c r="N126" s="119"/>
      <x:c r="O126" s="119"/>
      <x:c r="P126" s="119"/>
    </x:row>
    <x:row r="127">
      <x:c r="A127" s="119"/>
      <x:c r="B127" s="119"/>
      <x:c r="C127" s="119"/>
      <x:c r="D127" s="119"/>
      <x:c r="E127" s="119"/>
      <x:c r="F127" s="119"/>
      <x:c r="G127" s="119"/>
      <x:c r="H127" s="119"/>
      <x:c r="I127" s="119"/>
      <x:c r="J127" s="119"/>
      <x:c r="K127" s="119"/>
      <x:c r="L127" s="119"/>
      <x:c r="M127" s="119"/>
      <x:c r="N127" s="119"/>
      <x:c r="O127" s="119"/>
      <x:c r="P127" s="119"/>
    </x:row>
    <x:row r="128">
      <x:c r="A128" s="119"/>
      <x:c r="B128" s="119"/>
      <x:c r="C128" s="119"/>
      <x:c r="D128" s="119"/>
      <x:c r="E128" s="119"/>
      <x:c r="F128" s="119"/>
      <x:c r="G128" s="119"/>
      <x:c r="H128" s="119"/>
      <x:c r="I128" s="119"/>
      <x:c r="J128" s="119"/>
      <x:c r="K128" s="119"/>
      <x:c r="L128" s="119"/>
      <x:c r="M128" s="119"/>
      <x:c r="N128" s="119"/>
      <x:c r="O128" s="119"/>
      <x:c r="P128" s="119"/>
    </x:row>
    <x:row r="129">
      <x:c r="A129" s="119"/>
      <x:c r="B129" s="119"/>
      <x:c r="C129" s="119"/>
      <x:c r="D129" s="119"/>
      <x:c r="E129" s="119"/>
      <x:c r="F129" s="119"/>
      <x:c r="G129" s="119"/>
      <x:c r="H129" s="119"/>
      <x:c r="I129" s="119"/>
      <x:c r="J129" s="119"/>
      <x:c r="K129" s="119"/>
      <x:c r="L129" s="119"/>
      <x:c r="M129" s="119"/>
      <x:c r="N129" s="119"/>
      <x:c r="O129" s="119"/>
      <x:c r="P129" s="119"/>
    </x:row>
    <x:row r="130">
      <x:c r="A130" s="119"/>
      <x:c r="B130" s="119"/>
      <x:c r="C130" s="119"/>
      <x:c r="D130" s="119"/>
      <x:c r="E130" s="119"/>
      <x:c r="F130" s="119"/>
      <x:c r="G130" s="119"/>
      <x:c r="H130" s="119"/>
      <x:c r="I130" s="119"/>
      <x:c r="J130" s="119"/>
      <x:c r="K130" s="119"/>
      <x:c r="L130" s="119"/>
      <x:c r="M130" s="119"/>
      <x:c r="N130" s="119"/>
      <x:c r="O130" s="119"/>
      <x:c r="P130" s="119"/>
    </x:row>
    <x:row r="131">
      <x:c r="A131" s="119"/>
      <x:c r="B131" s="119"/>
      <x:c r="C131" s="119"/>
      <x:c r="D131" s="119"/>
      <x:c r="E131" s="119"/>
      <x:c r="F131" s="119"/>
      <x:c r="G131" s="119"/>
      <x:c r="H131" s="119"/>
      <x:c r="I131" s="119"/>
      <x:c r="J131" s="119"/>
      <x:c r="K131" s="119"/>
      <x:c r="L131" s="119"/>
      <x:c r="M131" s="119"/>
      <x:c r="N131" s="119"/>
      <x:c r="O131" s="119"/>
      <x:c r="P131" s="119"/>
    </x:row>
    <x:row r="132">
      <x:c r="A132" s="119"/>
      <x:c r="B132" s="119"/>
      <x:c r="C132" s="119"/>
      <x:c r="D132" s="119"/>
      <x:c r="E132" s="119"/>
      <x:c r="F132" s="119"/>
      <x:c r="G132" s="119"/>
      <x:c r="H132" s="119"/>
      <x:c r="I132" s="119"/>
      <x:c r="J132" s="119"/>
      <x:c r="K132" s="119"/>
      <x:c r="L132" s="119"/>
      <x:c r="M132" s="119"/>
      <x:c r="N132" s="119"/>
      <x:c r="O132" s="119"/>
      <x:c r="P132" s="119"/>
    </x:row>
    <x:row r="133">
      <x:c r="A133" s="119"/>
      <x:c r="B133" s="119"/>
      <x:c r="C133" s="119"/>
      <x:c r="D133" s="119"/>
      <x:c r="E133" s="119"/>
      <x:c r="F133" s="119"/>
      <x:c r="G133" s="119"/>
      <x:c r="H133" s="119"/>
      <x:c r="I133" s="119"/>
      <x:c r="J133" s="119"/>
      <x:c r="K133" s="119"/>
      <x:c r="L133" s="119"/>
      <x:c r="M133" s="119"/>
      <x:c r="N133" s="119"/>
      <x:c r="O133" s="119"/>
      <x:c r="P133" s="119"/>
    </x:row>
    <x:row r="134">
      <x:c r="A134" s="119"/>
      <x:c r="B134" s="119"/>
      <x:c r="C134" s="119"/>
      <x:c r="D134" s="119"/>
      <x:c r="E134" s="119"/>
      <x:c r="F134" s="119"/>
      <x:c r="G134" s="119"/>
      <x:c r="H134" s="119"/>
      <x:c r="I134" s="119"/>
      <x:c r="J134" s="119"/>
      <x:c r="K134" s="119"/>
      <x:c r="L134" s="119"/>
      <x:c r="M134" s="119"/>
      <x:c r="N134" s="119"/>
      <x:c r="O134" s="119"/>
      <x:c r="P134" s="119"/>
    </x:row>
    <x:row r="135">
      <x:c r="A135" s="119"/>
      <x:c r="B135" s="119"/>
      <x:c r="C135" s="119"/>
      <x:c r="D135" s="119"/>
      <x:c r="E135" s="119"/>
      <x:c r="F135" s="119"/>
      <x:c r="G135" s="119"/>
      <x:c r="H135" s="119"/>
      <x:c r="I135" s="119"/>
      <x:c r="J135" s="119"/>
      <x:c r="K135" s="119"/>
      <x:c r="L135" s="119"/>
      <x:c r="M135" s="119"/>
      <x:c r="N135" s="119"/>
      <x:c r="O135" s="119"/>
      <x:c r="P135" s="119"/>
    </x:row>
    <x:row r="136">
      <x:c r="A136" s="119"/>
      <x:c r="B136" s="119"/>
      <x:c r="C136" s="119"/>
      <x:c r="D136" s="119"/>
      <x:c r="E136" s="119"/>
      <x:c r="F136" s="119"/>
      <x:c r="G136" s="119"/>
      <x:c r="H136" s="119"/>
      <x:c r="I136" s="119"/>
      <x:c r="J136" s="119"/>
      <x:c r="K136" s="119"/>
      <x:c r="L136" s="119"/>
      <x:c r="M136" s="119"/>
      <x:c r="N136" s="119"/>
      <x:c r="O136" s="119"/>
      <x:c r="P136" s="119"/>
    </x:row>
    <x:row r="137">
      <x:c r="A137" s="119"/>
      <x:c r="B137" s="119"/>
      <x:c r="C137" s="119"/>
      <x:c r="D137" s="119"/>
      <x:c r="E137" s="119"/>
      <x:c r="F137" s="119"/>
      <x:c r="G137" s="119"/>
      <x:c r="H137" s="119"/>
      <x:c r="I137" s="119"/>
      <x:c r="J137" s="119"/>
      <x:c r="K137" s="119"/>
      <x:c r="L137" s="119"/>
      <x:c r="M137" s="119"/>
      <x:c r="N137" s="119"/>
      <x:c r="O137" s="119"/>
      <x:c r="P137" s="119"/>
    </x:row>
    <x:row r="138">
      <x:c r="A138" s="119"/>
      <x:c r="B138" s="119"/>
      <x:c r="C138" s="119"/>
      <x:c r="D138" s="119"/>
      <x:c r="E138" s="119"/>
      <x:c r="F138" s="119"/>
      <x:c r="G138" s="119"/>
      <x:c r="H138" s="119"/>
      <x:c r="I138" s="119"/>
      <x:c r="J138" s="119"/>
      <x:c r="K138" s="119"/>
      <x:c r="L138" s="119"/>
      <x:c r="M138" s="119"/>
      <x:c r="N138" s="119"/>
      <x:c r="O138" s="119"/>
      <x:c r="P138" s="119"/>
    </x:row>
    <x:row r="139">
      <x:c r="A139" s="119"/>
      <x:c r="B139" s="119"/>
      <x:c r="C139" s="119"/>
      <x:c r="D139" s="119"/>
      <x:c r="E139" s="119"/>
      <x:c r="F139" s="119"/>
      <x:c r="G139" s="119"/>
      <x:c r="H139" s="119"/>
      <x:c r="I139" s="119"/>
      <x:c r="J139" s="119"/>
      <x:c r="K139" s="119"/>
      <x:c r="L139" s="119"/>
      <x:c r="M139" s="119"/>
      <x:c r="N139" s="119"/>
      <x:c r="O139" s="119"/>
      <x:c r="P139" s="119"/>
    </x:row>
    <x:row r="140">
      <x:c r="A140" s="119"/>
      <x:c r="B140" s="119"/>
      <x:c r="C140" s="119"/>
      <x:c r="D140" s="119"/>
      <x:c r="E140" s="119"/>
      <x:c r="F140" s="119"/>
      <x:c r="G140" s="119"/>
      <x:c r="H140" s="119"/>
      <x:c r="I140" s="119"/>
      <x:c r="J140" s="119"/>
      <x:c r="K140" s="119"/>
      <x:c r="L140" s="119"/>
      <x:c r="M140" s="119"/>
      <x:c r="N140" s="119"/>
      <x:c r="O140" s="119"/>
      <x:c r="P140" s="119"/>
    </x:row>
    <x:row r="141">
      <x:c r="A141" s="119"/>
      <x:c r="B141" s="119"/>
      <x:c r="C141" s="119"/>
      <x:c r="D141" s="119"/>
      <x:c r="E141" s="119"/>
      <x:c r="F141" s="119"/>
      <x:c r="G141" s="119"/>
      <x:c r="H141" s="119"/>
      <x:c r="I141" s="119"/>
      <x:c r="J141" s="119"/>
      <x:c r="K141" s="119"/>
      <x:c r="L141" s="119"/>
      <x:c r="M141" s="119"/>
      <x:c r="N141" s="119"/>
      <x:c r="O141" s="119"/>
      <x:c r="P141" s="119"/>
    </x:row>
    <x:row r="142">
      <x:c r="A142" s="119"/>
      <x:c r="B142" s="119"/>
      <x:c r="C142" s="119"/>
      <x:c r="D142" s="119"/>
      <x:c r="E142" s="119"/>
      <x:c r="F142" s="119"/>
      <x:c r="G142" s="119"/>
      <x:c r="H142" s="119"/>
      <x:c r="I142" s="119"/>
      <x:c r="J142" s="119"/>
      <x:c r="K142" s="119"/>
      <x:c r="L142" s="119"/>
      <x:c r="M142" s="119"/>
      <x:c r="N142" s="119"/>
      <x:c r="O142" s="119"/>
      <x:c r="P142" s="119"/>
    </x:row>
    <x:row r="143">
      <x:c r="A143" s="119"/>
      <x:c r="B143" s="119"/>
      <x:c r="C143" s="119"/>
      <x:c r="D143" s="119"/>
      <x:c r="E143" s="119"/>
      <x:c r="F143" s="119"/>
      <x:c r="G143" s="119"/>
      <x:c r="H143" s="119"/>
      <x:c r="I143" s="119"/>
      <x:c r="J143" s="119"/>
      <x:c r="K143" s="119"/>
      <x:c r="L143" s="119"/>
      <x:c r="M143" s="119"/>
      <x:c r="N143" s="119"/>
      <x:c r="O143" s="119"/>
      <x:c r="P143" s="119"/>
    </x:row>
    <x:row r="144">
      <x:c r="A144" s="119"/>
      <x:c r="B144" s="119"/>
      <x:c r="C144" s="119"/>
      <x:c r="D144" s="119"/>
      <x:c r="E144" s="119"/>
      <x:c r="F144" s="119"/>
      <x:c r="G144" s="119"/>
      <x:c r="H144" s="119"/>
      <x:c r="I144" s="119"/>
      <x:c r="J144" s="119"/>
      <x:c r="K144" s="119"/>
      <x:c r="L144" s="119"/>
      <x:c r="M144" s="119"/>
      <x:c r="N144" s="119"/>
      <x:c r="O144" s="119"/>
      <x:c r="P144" s="119"/>
    </x:row>
    <x:row r="145">
      <x:c r="A145" s="119"/>
      <x:c r="B145" s="119"/>
      <x:c r="C145" s="119"/>
      <x:c r="D145" s="119"/>
      <x:c r="E145" s="119"/>
      <x:c r="F145" s="119"/>
      <x:c r="G145" s="119"/>
      <x:c r="H145" s="119"/>
      <x:c r="I145" s="119"/>
      <x:c r="J145" s="119"/>
      <x:c r="K145" s="119"/>
      <x:c r="L145" s="119"/>
      <x:c r="M145" s="119"/>
      <x:c r="N145" s="119"/>
      <x:c r="O145" s="119"/>
      <x:c r="P145" s="119"/>
    </x:row>
    <x:row r="146">
      <x:c r="A146" s="119"/>
      <x:c r="B146" s="119"/>
      <x:c r="C146" s="119"/>
      <x:c r="D146" s="119"/>
      <x:c r="E146" s="119"/>
      <x:c r="F146" s="119"/>
      <x:c r="G146" s="119"/>
      <x:c r="H146" s="119"/>
      <x:c r="I146" s="119"/>
      <x:c r="J146" s="119"/>
      <x:c r="K146" s="119"/>
      <x:c r="L146" s="119"/>
      <x:c r="M146" s="119"/>
      <x:c r="N146" s="119"/>
      <x:c r="O146" s="119"/>
      <x:c r="P146" s="119"/>
    </x:row>
    <x:row r="147">
      <x:c r="A147" s="119"/>
      <x:c r="B147" s="119"/>
      <x:c r="C147" s="119"/>
      <x:c r="D147" s="119"/>
      <x:c r="E147" s="119"/>
      <x:c r="F147" s="119"/>
      <x:c r="G147" s="119"/>
      <x:c r="H147" s="119"/>
      <x:c r="I147" s="119"/>
      <x:c r="J147" s="119"/>
      <x:c r="K147" s="119"/>
      <x:c r="L147" s="119"/>
      <x:c r="M147" s="119"/>
      <x:c r="N147" s="119"/>
      <x:c r="O147" s="119"/>
      <x:c r="P147" s="119"/>
    </x:row>
    <x:row r="148">
      <x:c r="A148" s="119"/>
      <x:c r="B148" s="119"/>
      <x:c r="C148" s="119"/>
      <x:c r="D148" s="119"/>
      <x:c r="E148" s="119"/>
      <x:c r="F148" s="119"/>
      <x:c r="G148" s="119"/>
      <x:c r="H148" s="119"/>
      <x:c r="I148" s="119"/>
      <x:c r="J148" s="119"/>
      <x:c r="K148" s="119"/>
      <x:c r="L148" s="119"/>
      <x:c r="M148" s="119"/>
      <x:c r="N148" s="119"/>
      <x:c r="O148" s="119"/>
      <x:c r="P148" s="119"/>
    </x:row>
    <x:row r="149">
      <x:c r="A149" s="119"/>
      <x:c r="B149" s="119"/>
      <x:c r="C149" s="119"/>
      <x:c r="D149" s="119"/>
      <x:c r="E149" s="119"/>
      <x:c r="F149" s="119"/>
      <x:c r="G149" s="119"/>
      <x:c r="H149" s="119"/>
      <x:c r="I149" s="119"/>
      <x:c r="J149" s="119"/>
      <x:c r="K149" s="119"/>
      <x:c r="L149" s="119"/>
      <x:c r="M149" s="119"/>
      <x:c r="N149" s="119"/>
      <x:c r="O149" s="119"/>
      <x:c r="P149" s="119"/>
    </x:row>
    <x:row r="150">
      <x:c r="A150" s="119"/>
      <x:c r="B150" s="119"/>
      <x:c r="C150" s="119"/>
      <x:c r="D150" s="119"/>
      <x:c r="E150" s="119"/>
      <x:c r="F150" s="119"/>
      <x:c r="G150" s="119"/>
      <x:c r="H150" s="119"/>
      <x:c r="I150" s="119"/>
      <x:c r="J150" s="119"/>
      <x:c r="K150" s="119"/>
      <x:c r="L150" s="119"/>
      <x:c r="M150" s="119"/>
      <x:c r="N150" s="119"/>
      <x:c r="O150" s="119"/>
      <x:c r="P150" s="119"/>
    </x:row>
    <x:row r="151">
      <x:c r="A151" s="119"/>
      <x:c r="B151" s="119"/>
      <x:c r="C151" s="119"/>
      <x:c r="D151" s="119"/>
      <x:c r="E151" s="119"/>
      <x:c r="F151" s="119"/>
      <x:c r="G151" s="119"/>
      <x:c r="H151" s="119"/>
      <x:c r="I151" s="119"/>
      <x:c r="J151" s="119"/>
      <x:c r="K151" s="119"/>
      <x:c r="L151" s="119"/>
      <x:c r="M151" s="119"/>
      <x:c r="N151" s="119"/>
      <x:c r="O151" s="119"/>
      <x:c r="P151" s="119"/>
    </x:row>
    <x:row r="152">
      <x:c r="A152" s="119"/>
      <x:c r="B152" s="119"/>
      <x:c r="C152" s="119"/>
      <x:c r="D152" s="119"/>
      <x:c r="E152" s="119"/>
      <x:c r="F152" s="119"/>
      <x:c r="G152" s="119"/>
      <x:c r="H152" s="119"/>
      <x:c r="I152" s="119"/>
      <x:c r="J152" s="119"/>
      <x:c r="K152" s="119"/>
      <x:c r="L152" s="119"/>
      <x:c r="M152" s="119"/>
      <x:c r="N152" s="119"/>
      <x:c r="O152" s="119"/>
      <x:c r="P152" s="119"/>
    </x:row>
    <x:row r="153">
      <x:c r="A153" s="119"/>
      <x:c r="B153" s="119"/>
      <x:c r="C153" s="119"/>
      <x:c r="D153" s="119"/>
      <x:c r="E153" s="119"/>
      <x:c r="F153" s="119"/>
      <x:c r="G153" s="119"/>
      <x:c r="H153" s="119"/>
      <x:c r="I153" s="119"/>
      <x:c r="J153" s="119"/>
      <x:c r="K153" s="119"/>
      <x:c r="L153" s="119"/>
      <x:c r="M153" s="119"/>
      <x:c r="N153" s="119"/>
      <x:c r="O153" s="119"/>
      <x:c r="P153" s="119"/>
    </x:row>
    <x:row r="154">
      <x:c r="A154" s="119"/>
      <x:c r="B154" s="119"/>
      <x:c r="C154" s="119"/>
      <x:c r="D154" s="119"/>
      <x:c r="E154" s="119"/>
      <x:c r="F154" s="119"/>
      <x:c r="G154" s="119"/>
      <x:c r="H154" s="119"/>
      <x:c r="I154" s="119"/>
      <x:c r="J154" s="119"/>
      <x:c r="K154" s="119"/>
      <x:c r="L154" s="119"/>
      <x:c r="M154" s="119"/>
      <x:c r="N154" s="119"/>
      <x:c r="O154" s="119"/>
      <x:c r="P154" s="119"/>
    </x:row>
    <x:row r="155">
      <x:c r="A155" s="119"/>
      <x:c r="B155" s="119"/>
      <x:c r="C155" s="119"/>
      <x:c r="D155" s="119"/>
      <x:c r="E155" s="119"/>
      <x:c r="F155" s="119"/>
      <x:c r="G155" s="119"/>
      <x:c r="H155" s="119"/>
      <x:c r="I155" s="119"/>
      <x:c r="J155" s="119"/>
      <x:c r="K155" s="119"/>
      <x:c r="L155" s="119"/>
      <x:c r="M155" s="119"/>
      <x:c r="N155" s="119"/>
      <x:c r="O155" s="119"/>
      <x:c r="P155" s="119"/>
    </x:row>
    <x:row r="156">
      <x:c r="A156" s="119"/>
      <x:c r="B156" s="119"/>
      <x:c r="C156" s="119"/>
      <x:c r="D156" s="119"/>
      <x:c r="E156" s="119"/>
      <x:c r="F156" s="119"/>
      <x:c r="G156" s="119"/>
      <x:c r="H156" s="119"/>
      <x:c r="I156" s="119"/>
      <x:c r="J156" s="119"/>
      <x:c r="K156" s="119"/>
      <x:c r="L156" s="119"/>
      <x:c r="M156" s="119"/>
      <x:c r="N156" s="119"/>
      <x:c r="O156" s="119"/>
      <x:c r="P156" s="119"/>
    </x:row>
    <x:row r="157">
      <x:c r="A157" s="119"/>
      <x:c r="B157" s="119"/>
      <x:c r="C157" s="119"/>
      <x:c r="D157" s="119"/>
      <x:c r="E157" s="119"/>
      <x:c r="F157" s="119"/>
      <x:c r="G157" s="119"/>
      <x:c r="H157" s="119"/>
      <x:c r="I157" s="119"/>
      <x:c r="J157" s="119"/>
      <x:c r="K157" s="119"/>
      <x:c r="L157" s="119"/>
      <x:c r="M157" s="119"/>
      <x:c r="N157" s="119"/>
      <x:c r="O157" s="119"/>
      <x:c r="P157" s="119"/>
    </x:row>
    <x:row r="158">
      <x:c r="A158" s="119"/>
      <x:c r="B158" s="119"/>
      <x:c r="C158" s="119"/>
      <x:c r="D158" s="119"/>
      <x:c r="E158" s="119"/>
      <x:c r="F158" s="119"/>
      <x:c r="G158" s="119"/>
      <x:c r="H158" s="119"/>
      <x:c r="I158" s="119"/>
      <x:c r="J158" s="119"/>
      <x:c r="K158" s="119"/>
      <x:c r="L158" s="119"/>
      <x:c r="M158" s="119"/>
      <x:c r="N158" s="119"/>
      <x:c r="O158" s="119"/>
      <x:c r="P158" s="119"/>
    </x:row>
    <x:row r="159">
      <x:c r="A159" s="119"/>
      <x:c r="B159" s="119"/>
      <x:c r="C159" s="119"/>
      <x:c r="D159" s="119"/>
      <x:c r="E159" s="119"/>
      <x:c r="F159" s="119"/>
      <x:c r="G159" s="119"/>
      <x:c r="H159" s="119"/>
      <x:c r="I159" s="119"/>
      <x:c r="J159" s="119"/>
      <x:c r="K159" s="119"/>
      <x:c r="L159" s="119"/>
      <x:c r="M159" s="119"/>
      <x:c r="N159" s="119"/>
      <x:c r="O159" s="119"/>
      <x:c r="P159" s="119"/>
    </x:row>
    <x:row r="160">
      <x:c r="A160" s="119"/>
      <x:c r="B160" s="119"/>
      <x:c r="C160" s="119"/>
      <x:c r="D160" s="119"/>
      <x:c r="E160" s="119"/>
      <x:c r="F160" s="119"/>
      <x:c r="G160" s="119"/>
      <x:c r="H160" s="119"/>
      <x:c r="I160" s="119"/>
      <x:c r="J160" s="119"/>
      <x:c r="K160" s="119"/>
      <x:c r="L160" s="119"/>
      <x:c r="M160" s="119"/>
      <x:c r="N160" s="119"/>
      <x:c r="O160" s="119"/>
      <x:c r="P160" s="119"/>
    </x:row>
    <x:row r="161">
      <x:c r="A161" s="119"/>
      <x:c r="B161" s="119"/>
      <x:c r="C161" s="119"/>
      <x:c r="D161" s="119"/>
      <x:c r="E161" s="119"/>
      <x:c r="F161" s="119"/>
      <x:c r="G161" s="119"/>
      <x:c r="H161" s="119"/>
      <x:c r="I161" s="119"/>
      <x:c r="J161" s="119"/>
      <x:c r="K161" s="119"/>
      <x:c r="L161" s="119"/>
      <x:c r="M161" s="119"/>
      <x:c r="N161" s="119"/>
      <x:c r="O161" s="119"/>
      <x:c r="P161" s="119"/>
    </x:row>
    <x:row r="162">
      <x:c r="A162" s="119"/>
      <x:c r="B162" s="119"/>
      <x:c r="C162" s="119"/>
      <x:c r="D162" s="119"/>
      <x:c r="E162" s="119"/>
      <x:c r="F162" s="119"/>
      <x:c r="G162" s="119"/>
      <x:c r="H162" s="119"/>
      <x:c r="I162" s="119"/>
      <x:c r="J162" s="119"/>
      <x:c r="K162" s="119"/>
      <x:c r="L162" s="119"/>
      <x:c r="M162" s="119"/>
      <x:c r="N162" s="119"/>
      <x:c r="O162" s="119"/>
      <x:c r="P162" s="119"/>
    </x:row>
    <x:row r="163">
      <x:c r="A163" s="119"/>
      <x:c r="B163" s="119"/>
      <x:c r="C163" s="119"/>
      <x:c r="D163" s="119"/>
      <x:c r="E163" s="119"/>
      <x:c r="F163" s="119"/>
      <x:c r="G163" s="119"/>
      <x:c r="H163" s="119"/>
      <x:c r="I163" s="119"/>
      <x:c r="J163" s="119"/>
      <x:c r="K163" s="119"/>
      <x:c r="L163" s="119"/>
      <x:c r="M163" s="119"/>
      <x:c r="N163" s="119"/>
      <x:c r="O163" s="119"/>
      <x:c r="P163" s="119"/>
    </x:row>
    <x:row r="164">
      <x:c r="A164" s="119"/>
      <x:c r="B164" s="119"/>
      <x:c r="C164" s="119"/>
      <x:c r="D164" s="119"/>
      <x:c r="E164" s="119"/>
      <x:c r="F164" s="119"/>
      <x:c r="G164" s="119"/>
      <x:c r="H164" s="119"/>
      <x:c r="I164" s="119"/>
      <x:c r="J164" s="119"/>
      <x:c r="K164" s="119"/>
      <x:c r="L164" s="119"/>
      <x:c r="M164" s="119"/>
      <x:c r="N164" s="119"/>
      <x:c r="O164" s="119"/>
      <x:c r="P164" s="119"/>
    </x:row>
    <x:row r="165">
      <x:c r="A165" s="119"/>
      <x:c r="B165" s="119"/>
      <x:c r="C165" s="119"/>
      <x:c r="D165" s="119"/>
      <x:c r="E165" s="119"/>
      <x:c r="F165" s="119"/>
      <x:c r="G165" s="119"/>
      <x:c r="H165" s="119"/>
      <x:c r="I165" s="119"/>
      <x:c r="J165" s="119"/>
      <x:c r="K165" s="119"/>
      <x:c r="L165" s="119"/>
      <x:c r="M165" s="119"/>
      <x:c r="N165" s="119"/>
      <x:c r="O165" s="119"/>
      <x:c r="P165" s="119"/>
    </x:row>
    <x:row r="166">
      <x:c r="A166" s="119"/>
      <x:c r="B166" s="119"/>
      <x:c r="C166" s="119"/>
      <x:c r="D166" s="119"/>
      <x:c r="E166" s="119"/>
      <x:c r="F166" s="119"/>
      <x:c r="G166" s="119"/>
      <x:c r="H166" s="119"/>
      <x:c r="I166" s="119"/>
      <x:c r="J166" s="119"/>
      <x:c r="K166" s="119"/>
      <x:c r="L166" s="119"/>
      <x:c r="M166" s="119"/>
      <x:c r="N166" s="119"/>
      <x:c r="O166" s="119"/>
      <x:c r="P166" s="119"/>
    </x:row>
    <x:row r="167">
      <x:c r="A167" s="119"/>
      <x:c r="B167" s="119"/>
      <x:c r="C167" s="119"/>
      <x:c r="D167" s="119"/>
      <x:c r="E167" s="119"/>
      <x:c r="F167" s="119"/>
      <x:c r="G167" s="119"/>
      <x:c r="H167" s="119"/>
      <x:c r="I167" s="119"/>
      <x:c r="J167" s="119"/>
      <x:c r="K167" s="119"/>
      <x:c r="L167" s="119"/>
      <x:c r="M167" s="119"/>
      <x:c r="N167" s="119"/>
      <x:c r="O167" s="119"/>
      <x:c r="P167" s="119"/>
    </x:row>
    <x:row r="168">
      <x:c r="A168" s="119"/>
      <x:c r="B168" s="119"/>
      <x:c r="C168" s="119"/>
      <x:c r="D168" s="119"/>
      <x:c r="E168" s="119"/>
      <x:c r="F168" s="119"/>
      <x:c r="G168" s="119"/>
      <x:c r="H168" s="119"/>
      <x:c r="I168" s="119"/>
      <x:c r="J168" s="119"/>
      <x:c r="K168" s="119"/>
      <x:c r="L168" s="119"/>
      <x:c r="M168" s="119"/>
      <x:c r="N168" s="119"/>
      <x:c r="O168" s="119"/>
      <x:c r="P168" s="119"/>
    </x:row>
    <x:row r="169">
      <x:c r="A169" s="119"/>
      <x:c r="B169" s="119"/>
      <x:c r="C169" s="119"/>
      <x:c r="D169" s="119"/>
      <x:c r="E169" s="119"/>
      <x:c r="F169" s="119"/>
      <x:c r="G169" s="119"/>
      <x:c r="H169" s="119"/>
      <x:c r="I169" s="119"/>
      <x:c r="J169" s="119"/>
      <x:c r="K169" s="119"/>
      <x:c r="L169" s="119"/>
      <x:c r="M169" s="119"/>
      <x:c r="N169" s="119"/>
      <x:c r="O169" s="119"/>
      <x:c r="P169" s="119"/>
    </x:row>
    <x:row r="170">
      <x:c r="A170" s="119"/>
      <x:c r="B170" s="119"/>
      <x:c r="C170" s="119"/>
      <x:c r="D170" s="119"/>
      <x:c r="E170" s="119"/>
      <x:c r="F170" s="119"/>
      <x:c r="G170" s="119"/>
      <x:c r="H170" s="119"/>
      <x:c r="I170" s="119"/>
      <x:c r="J170" s="119"/>
      <x:c r="K170" s="119"/>
      <x:c r="L170" s="119"/>
      <x:c r="M170" s="119"/>
      <x:c r="N170" s="119"/>
      <x:c r="O170" s="119"/>
      <x:c r="P170" s="119"/>
    </x:row>
    <x:row r="171">
      <x:c r="A171" s="119"/>
      <x:c r="B171" s="119"/>
      <x:c r="C171" s="119"/>
      <x:c r="D171" s="119"/>
      <x:c r="E171" s="119"/>
      <x:c r="F171" s="119"/>
      <x:c r="G171" s="119"/>
      <x:c r="H171" s="119"/>
      <x:c r="I171" s="119"/>
      <x:c r="J171" s="119"/>
      <x:c r="K171" s="119"/>
      <x:c r="L171" s="119"/>
      <x:c r="M171" s="119"/>
      <x:c r="N171" s="119"/>
      <x:c r="O171" s="119"/>
      <x:c r="P171" s="119"/>
    </x:row>
    <x:row r="172">
      <x:c r="A172" s="119"/>
      <x:c r="B172" s="119"/>
      <x:c r="C172" s="119"/>
      <x:c r="D172" s="119"/>
      <x:c r="E172" s="119"/>
      <x:c r="F172" s="119"/>
      <x:c r="G172" s="119"/>
      <x:c r="H172" s="119"/>
      <x:c r="I172" s="119"/>
      <x:c r="J172" s="119"/>
      <x:c r="K172" s="119"/>
      <x:c r="L172" s="119"/>
      <x:c r="M172" s="119"/>
      <x:c r="N172" s="119"/>
      <x:c r="O172" s="119"/>
      <x:c r="P172" s="119"/>
    </x:row>
    <x:row r="173">
      <x:c r="A173" s="119"/>
      <x:c r="B173" s="119"/>
      <x:c r="C173" s="119"/>
      <x:c r="D173" s="119"/>
      <x:c r="E173" s="119"/>
      <x:c r="F173" s="119"/>
      <x:c r="G173" s="119"/>
      <x:c r="H173" s="119"/>
      <x:c r="I173" s="119"/>
      <x:c r="J173" s="119"/>
      <x:c r="K173" s="119"/>
      <x:c r="L173" s="119"/>
      <x:c r="M173" s="119"/>
      <x:c r="N173" s="119"/>
      <x:c r="O173" s="119"/>
      <x:c r="P173" s="119"/>
    </x:row>
    <x:row r="174">
      <x:c r="A174" s="119"/>
      <x:c r="B174" s="119"/>
      <x:c r="C174" s="119"/>
      <x:c r="D174" s="119"/>
      <x:c r="E174" s="119"/>
      <x:c r="F174" s="119"/>
      <x:c r="G174" s="119"/>
      <x:c r="H174" s="119"/>
      <x:c r="I174" s="119"/>
      <x:c r="J174" s="119"/>
      <x:c r="K174" s="119"/>
      <x:c r="L174" s="119"/>
      <x:c r="M174" s="119"/>
      <x:c r="N174" s="119"/>
      <x:c r="O174" s="119"/>
      <x:c r="P174" s="119"/>
    </x:row>
    <x:row r="175">
      <x:c r="A175" s="119"/>
      <x:c r="B175" s="119"/>
      <x:c r="C175" s="119"/>
      <x:c r="D175" s="119"/>
      <x:c r="E175" s="119"/>
      <x:c r="F175" s="119"/>
      <x:c r="G175" s="119"/>
      <x:c r="H175" s="119"/>
      <x:c r="I175" s="119"/>
      <x:c r="J175" s="119"/>
      <x:c r="K175" s="119"/>
      <x:c r="L175" s="119"/>
      <x:c r="M175" s="119"/>
      <x:c r="N175" s="119"/>
      <x:c r="O175" s="119"/>
      <x:c r="P175" s="119"/>
    </x:row>
    <x:row r="176">
      <x:c r="A176" s="119"/>
      <x:c r="B176" s="119"/>
      <x:c r="C176" s="119"/>
      <x:c r="D176" s="119"/>
      <x:c r="E176" s="119"/>
      <x:c r="F176" s="119"/>
      <x:c r="G176" s="119"/>
      <x:c r="H176" s="119"/>
      <x:c r="I176" s="119"/>
      <x:c r="J176" s="119"/>
      <x:c r="K176" s="119"/>
      <x:c r="L176" s="119"/>
      <x:c r="M176" s="119"/>
      <x:c r="N176" s="119"/>
      <x:c r="O176" s="119"/>
      <x:c r="P176" s="119"/>
    </x:row>
    <x:row r="177">
      <x:c r="A177" s="119"/>
      <x:c r="B177" s="119"/>
      <x:c r="C177" s="119"/>
      <x:c r="D177" s="119"/>
      <x:c r="E177" s="119"/>
      <x:c r="F177" s="119"/>
      <x:c r="G177" s="119"/>
      <x:c r="H177" s="119"/>
      <x:c r="I177" s="119"/>
      <x:c r="J177" s="119"/>
      <x:c r="K177" s="119"/>
      <x:c r="L177" s="119"/>
      <x:c r="M177" s="119"/>
      <x:c r="N177" s="119"/>
      <x:c r="O177" s="119"/>
      <x:c r="P177" s="119"/>
    </x:row>
    <x:row r="178">
      <x:c r="A178" s="119"/>
      <x:c r="B178" s="119"/>
      <x:c r="C178" s="119"/>
      <x:c r="D178" s="119"/>
      <x:c r="E178" s="119"/>
      <x:c r="F178" s="119"/>
      <x:c r="G178" s="119"/>
      <x:c r="H178" s="119"/>
      <x:c r="I178" s="119"/>
      <x:c r="J178" s="119"/>
      <x:c r="K178" s="119"/>
      <x:c r="L178" s="119"/>
      <x:c r="M178" s="119"/>
      <x:c r="N178" s="119"/>
      <x:c r="O178" s="119"/>
      <x:c r="P178" s="119"/>
    </x:row>
    <x:row r="179">
      <x:c r="A179" s="119"/>
      <x:c r="B179" s="119"/>
      <x:c r="C179" s="119"/>
      <x:c r="D179" s="119"/>
      <x:c r="E179" s="119"/>
      <x:c r="F179" s="119"/>
      <x:c r="G179" s="119"/>
      <x:c r="H179" s="119"/>
      <x:c r="I179" s="119"/>
      <x:c r="J179" s="119"/>
      <x:c r="K179" s="119"/>
      <x:c r="L179" s="119"/>
      <x:c r="M179" s="119"/>
      <x:c r="N179" s="119"/>
      <x:c r="O179" s="119"/>
      <x:c r="P179" s="119"/>
    </x:row>
    <x:row r="180">
      <x:c r="A180" s="119"/>
      <x:c r="B180" s="119"/>
      <x:c r="C180" s="119"/>
      <x:c r="D180" s="119"/>
      <x:c r="E180" s="119"/>
      <x:c r="F180" s="119"/>
      <x:c r="G180" s="119"/>
      <x:c r="H180" s="119"/>
      <x:c r="I180" s="119"/>
      <x:c r="J180" s="119"/>
      <x:c r="K180" s="119"/>
      <x:c r="L180" s="119"/>
      <x:c r="M180" s="119"/>
      <x:c r="N180" s="119"/>
      <x:c r="O180" s="119"/>
      <x:c r="P180" s="119"/>
    </x:row>
    <x:row r="181">
      <x:c r="A181" s="119"/>
      <x:c r="B181" s="119"/>
      <x:c r="C181" s="119"/>
      <x:c r="D181" s="119"/>
      <x:c r="E181" s="119"/>
      <x:c r="F181" s="119"/>
      <x:c r="G181" s="119"/>
      <x:c r="H181" s="119"/>
      <x:c r="I181" s="119"/>
      <x:c r="J181" s="119"/>
      <x:c r="K181" s="119"/>
      <x:c r="L181" s="119"/>
      <x:c r="M181" s="119"/>
      <x:c r="N181" s="119"/>
      <x:c r="O181" s="119"/>
      <x:c r="P181" s="119"/>
    </x:row>
    <x:row r="182">
      <x:c r="A182" s="119"/>
      <x:c r="B182" s="119"/>
      <x:c r="C182" s="119"/>
      <x:c r="D182" s="119"/>
      <x:c r="E182" s="119"/>
      <x:c r="F182" s="119"/>
      <x:c r="G182" s="119"/>
      <x:c r="H182" s="119"/>
      <x:c r="I182" s="119"/>
      <x:c r="J182" s="119"/>
      <x:c r="K182" s="119"/>
      <x:c r="L182" s="119"/>
      <x:c r="M182" s="119"/>
      <x:c r="N182" s="119"/>
      <x:c r="O182" s="119"/>
      <x:c r="P182" s="119"/>
    </x:row>
    <x:row r="183">
      <x:c r="A183" s="119"/>
      <x:c r="B183" s="119"/>
      <x:c r="C183" s="119"/>
      <x:c r="D183" s="119"/>
      <x:c r="E183" s="119"/>
      <x:c r="F183" s="119"/>
      <x:c r="G183" s="119"/>
      <x:c r="H183" s="119"/>
      <x:c r="I183" s="119"/>
      <x:c r="J183" s="119"/>
      <x:c r="K183" s="119"/>
      <x:c r="L183" s="119"/>
      <x:c r="M183" s="119"/>
      <x:c r="N183" s="119"/>
      <x:c r="O183" s="119"/>
      <x:c r="P183" s="119"/>
    </x:row>
    <x:row r="184">
      <x:c r="A184" s="119"/>
      <x:c r="B184" s="119"/>
      <x:c r="C184" s="119"/>
      <x:c r="D184" s="119"/>
      <x:c r="E184" s="119"/>
      <x:c r="F184" s="119"/>
      <x:c r="G184" s="119"/>
      <x:c r="H184" s="119"/>
      <x:c r="I184" s="119"/>
      <x:c r="J184" s="119"/>
      <x:c r="K184" s="119"/>
      <x:c r="L184" s="119"/>
      <x:c r="M184" s="119"/>
      <x:c r="N184" s="119"/>
      <x:c r="O184" s="119"/>
      <x:c r="P184" s="119"/>
    </x:row>
    <x:row r="185">
      <x:c r="A185" s="119"/>
      <x:c r="B185" s="119"/>
      <x:c r="C185" s="119"/>
      <x:c r="D185" s="119"/>
      <x:c r="E185" s="119"/>
      <x:c r="F185" s="119"/>
      <x:c r="G185" s="119"/>
      <x:c r="H185" s="119"/>
      <x:c r="I185" s="119"/>
      <x:c r="J185" s="119"/>
      <x:c r="K185" s="119"/>
      <x:c r="L185" s="119"/>
      <x:c r="M185" s="119"/>
      <x:c r="N185" s="119"/>
      <x:c r="O185" s="119"/>
      <x:c r="P185" s="119"/>
    </x:row>
    <x:row r="186">
      <x:c r="A186" s="119"/>
      <x:c r="B186" s="119"/>
      <x:c r="C186" s="119"/>
      <x:c r="D186" s="119"/>
      <x:c r="E186" s="119"/>
      <x:c r="F186" s="119"/>
      <x:c r="G186" s="119"/>
      <x:c r="H186" s="119"/>
      <x:c r="I186" s="119"/>
      <x:c r="J186" s="119"/>
      <x:c r="K186" s="119"/>
      <x:c r="L186" s="119"/>
      <x:c r="M186" s="119"/>
      <x:c r="N186" s="119"/>
      <x:c r="O186" s="119"/>
      <x:c r="P186" s="119"/>
    </x:row>
    <x:row r="187">
      <x:c r="A187" s="119"/>
      <x:c r="B187" s="119"/>
      <x:c r="C187" s="119"/>
      <x:c r="D187" s="119"/>
      <x:c r="E187" s="119"/>
      <x:c r="F187" s="119"/>
      <x:c r="G187" s="119"/>
      <x:c r="H187" s="119"/>
      <x:c r="I187" s="119"/>
      <x:c r="J187" s="119"/>
      <x:c r="K187" s="119"/>
      <x:c r="L187" s="119"/>
      <x:c r="M187" s="119"/>
      <x:c r="N187" s="119"/>
      <x:c r="O187" s="119"/>
      <x:c r="P187" s="119"/>
    </x:row>
    <x:row r="188">
      <x:c r="A188" s="119"/>
      <x:c r="B188" s="119"/>
      <x:c r="C188" s="119"/>
      <x:c r="D188" s="119"/>
      <x:c r="E188" s="119"/>
      <x:c r="F188" s="119"/>
      <x:c r="G188" s="119"/>
      <x:c r="H188" s="119"/>
      <x:c r="I188" s="119"/>
      <x:c r="J188" s="119"/>
      <x:c r="K188" s="119"/>
      <x:c r="L188" s="119"/>
      <x:c r="M188" s="119"/>
      <x:c r="N188" s="119"/>
      <x:c r="O188" s="119"/>
      <x:c r="P188" s="119"/>
    </x:row>
    <x:row r="189">
      <x:c r="A189" s="119"/>
      <x:c r="B189" s="119"/>
      <x:c r="C189" s="119"/>
      <x:c r="D189" s="119"/>
      <x:c r="E189" s="119"/>
      <x:c r="F189" s="119"/>
      <x:c r="G189" s="119"/>
      <x:c r="H189" s="119"/>
      <x:c r="I189" s="119"/>
      <x:c r="J189" s="119"/>
      <x:c r="K189" s="119"/>
      <x:c r="L189" s="119"/>
      <x:c r="M189" s="119"/>
      <x:c r="N189" s="119"/>
      <x:c r="O189" s="119"/>
      <x:c r="P189" s="119"/>
    </x:row>
    <x:row r="190">
      <x:c r="A190" s="119"/>
      <x:c r="B190" s="119"/>
      <x:c r="C190" s="119"/>
      <x:c r="D190" s="119"/>
      <x:c r="E190" s="119"/>
      <x:c r="F190" s="119"/>
      <x:c r="G190" s="119"/>
      <x:c r="H190" s="119"/>
      <x:c r="I190" s="119"/>
      <x:c r="J190" s="119"/>
      <x:c r="K190" s="119"/>
      <x:c r="L190" s="119"/>
      <x:c r="M190" s="119"/>
      <x:c r="N190" s="119"/>
      <x:c r="O190" s="119"/>
      <x:c r="P190" s="119"/>
    </x:row>
    <x:row r="191">
      <x:c r="A191" s="119"/>
      <x:c r="B191" s="119"/>
      <x:c r="C191" s="119"/>
      <x:c r="D191" s="119"/>
      <x:c r="E191" s="119"/>
      <x:c r="F191" s="119"/>
      <x:c r="G191" s="119"/>
      <x:c r="H191" s="119"/>
      <x:c r="I191" s="119"/>
      <x:c r="J191" s="119"/>
      <x:c r="K191" s="119"/>
      <x:c r="L191" s="119"/>
      <x:c r="M191" s="119"/>
      <x:c r="N191" s="119"/>
      <x:c r="O191" s="119"/>
      <x:c r="P191" s="119"/>
    </x:row>
    <x:row r="192">
      <x:c r="A192" s="119"/>
      <x:c r="B192" s="119"/>
      <x:c r="C192" s="119"/>
      <x:c r="D192" s="119"/>
      <x:c r="E192" s="119"/>
      <x:c r="F192" s="119"/>
      <x:c r="G192" s="119"/>
      <x:c r="H192" s="119"/>
      <x:c r="I192" s="119"/>
      <x:c r="J192" s="119"/>
      <x:c r="K192" s="119"/>
      <x:c r="L192" s="119"/>
      <x:c r="M192" s="119"/>
      <x:c r="N192" s="119"/>
      <x:c r="O192" s="119"/>
      <x:c r="P192" s="119"/>
    </x:row>
    <x:row r="193">
      <x:c r="A193" s="119"/>
      <x:c r="B193" s="119"/>
      <x:c r="C193" s="119"/>
      <x:c r="D193" s="119"/>
      <x:c r="E193" s="119"/>
      <x:c r="F193" s="119"/>
      <x:c r="G193" s="119"/>
      <x:c r="H193" s="119"/>
      <x:c r="I193" s="119"/>
      <x:c r="J193" s="119"/>
      <x:c r="K193" s="119"/>
      <x:c r="L193" s="119"/>
      <x:c r="M193" s="119"/>
      <x:c r="N193" s="119"/>
      <x:c r="O193" s="119"/>
      <x:c r="P193" s="119"/>
    </x:row>
    <x:row r="194">
      <x:c r="A194" s="119"/>
      <x:c r="B194" s="119"/>
      <x:c r="C194" s="119"/>
      <x:c r="D194" s="119"/>
      <x:c r="E194" s="119"/>
      <x:c r="F194" s="119"/>
      <x:c r="G194" s="119"/>
      <x:c r="H194" s="119"/>
      <x:c r="I194" s="119"/>
      <x:c r="J194" s="119"/>
      <x:c r="K194" s="119"/>
      <x:c r="L194" s="119"/>
      <x:c r="M194" s="119"/>
      <x:c r="N194" s="119"/>
      <x:c r="O194" s="119"/>
      <x:c r="P194" s="119"/>
    </x:row>
    <x:row r="195">
      <x:c r="A195" s="119"/>
      <x:c r="B195" s="119"/>
      <x:c r="C195" s="119"/>
      <x:c r="D195" s="119"/>
      <x:c r="E195" s="119"/>
      <x:c r="F195" s="119"/>
      <x:c r="G195" s="119"/>
      <x:c r="H195" s="119"/>
      <x:c r="I195" s="119"/>
      <x:c r="J195" s="119"/>
      <x:c r="K195" s="119"/>
      <x:c r="L195" s="119"/>
      <x:c r="M195" s="119"/>
      <x:c r="N195" s="119"/>
      <x:c r="O195" s="119"/>
      <x:c r="P195" s="119"/>
    </x:row>
    <x:row r="196">
      <x:c r="A196" s="119"/>
      <x:c r="B196" s="119"/>
      <x:c r="C196" s="119"/>
      <x:c r="D196" s="119"/>
      <x:c r="E196" s="119"/>
      <x:c r="F196" s="119"/>
      <x:c r="G196" s="119"/>
      <x:c r="H196" s="119"/>
      <x:c r="I196" s="119"/>
      <x:c r="J196" s="119"/>
      <x:c r="K196" s="119"/>
      <x:c r="L196" s="119"/>
      <x:c r="M196" s="119"/>
      <x:c r="N196" s="119"/>
      <x:c r="O196" s="119"/>
      <x:c r="P196" s="119"/>
    </x:row>
    <x:row r="197">
      <x:c r="A197" s="119"/>
      <x:c r="B197" s="119"/>
      <x:c r="C197" s="119"/>
      <x:c r="D197" s="119"/>
      <x:c r="E197" s="119"/>
      <x:c r="F197" s="119"/>
      <x:c r="G197" s="119"/>
      <x:c r="H197" s="119"/>
      <x:c r="I197" s="119"/>
      <x:c r="J197" s="119"/>
      <x:c r="K197" s="119"/>
      <x:c r="L197" s="119"/>
      <x:c r="M197" s="119"/>
      <x:c r="N197" s="119"/>
      <x:c r="O197" s="119"/>
      <x:c r="P197" s="119"/>
    </x:row>
    <x:row r="198">
      <x:c r="A198" s="119"/>
      <x:c r="B198" s="119"/>
      <x:c r="C198" s="119"/>
      <x:c r="D198" s="119"/>
      <x:c r="E198" s="119"/>
      <x:c r="F198" s="119"/>
      <x:c r="G198" s="119"/>
      <x:c r="H198" s="119"/>
      <x:c r="I198" s="119"/>
      <x:c r="J198" s="119"/>
      <x:c r="K198" s="119"/>
      <x:c r="L198" s="119"/>
      <x:c r="M198" s="119"/>
      <x:c r="N198" s="119"/>
      <x:c r="O198" s="119"/>
      <x:c r="P198" s="119"/>
    </x:row>
    <x:row r="199">
      <x:c r="A199" s="119"/>
      <x:c r="B199" s="119"/>
      <x:c r="C199" s="119"/>
      <x:c r="D199" s="119"/>
      <x:c r="E199" s="119"/>
      <x:c r="F199" s="119"/>
      <x:c r="G199" s="119"/>
      <x:c r="H199" s="119"/>
      <x:c r="I199" s="119"/>
      <x:c r="J199" s="119"/>
      <x:c r="K199" s="119"/>
      <x:c r="L199" s="119"/>
      <x:c r="M199" s="119"/>
      <x:c r="N199" s="119"/>
      <x:c r="O199" s="119"/>
      <x:c r="P199" s="119"/>
    </x:row>
    <x:row r="200">
      <x:c r="A200" s="119"/>
      <x:c r="B200" s="119"/>
      <x:c r="C200" s="119"/>
      <x:c r="D200" s="119"/>
      <x:c r="E200" s="119"/>
      <x:c r="F200" s="119"/>
      <x:c r="G200" s="119"/>
      <x:c r="H200" s="119"/>
      <x:c r="I200" s="119"/>
      <x:c r="J200" s="119"/>
      <x:c r="K200" s="119"/>
      <x:c r="L200" s="119"/>
      <x:c r="M200" s="119"/>
      <x:c r="N200" s="119"/>
      <x:c r="O200" s="119"/>
      <x:c r="P200" s="119"/>
    </x:row>
    <x:row r="201">
      <x:c r="A201" s="119"/>
      <x:c r="B201" s="119"/>
      <x:c r="C201" s="119"/>
      <x:c r="D201" s="119"/>
      <x:c r="E201" s="119"/>
      <x:c r="F201" s="119"/>
      <x:c r="G201" s="119"/>
      <x:c r="H201" s="119"/>
      <x:c r="I201" s="119"/>
      <x:c r="J201" s="119"/>
      <x:c r="K201" s="119"/>
      <x:c r="L201" s="119"/>
      <x:c r="M201" s="119"/>
      <x:c r="N201" s="119"/>
      <x:c r="O201" s="119"/>
      <x:c r="P201" s="119"/>
    </x:row>
    <x:row r="202">
      <x:c r="A202" s="119"/>
      <x:c r="B202" s="119"/>
      <x:c r="C202" s="119"/>
      <x:c r="D202" s="119"/>
      <x:c r="E202" s="119"/>
      <x:c r="F202" s="119"/>
      <x:c r="G202" s="119"/>
      <x:c r="H202" s="119"/>
      <x:c r="I202" s="119"/>
      <x:c r="J202" s="119"/>
      <x:c r="K202" s="119"/>
      <x:c r="L202" s="119"/>
      <x:c r="M202" s="119"/>
      <x:c r="N202" s="119"/>
      <x:c r="O202" s="119"/>
      <x:c r="P202" s="119"/>
    </x:row>
    <x:row r="203">
      <x:c r="A203" s="119"/>
      <x:c r="B203" s="119"/>
      <x:c r="C203" s="119"/>
      <x:c r="D203" s="119"/>
      <x:c r="E203" s="119"/>
      <x:c r="F203" s="119"/>
      <x:c r="G203" s="119"/>
      <x:c r="H203" s="119"/>
      <x:c r="I203" s="119"/>
      <x:c r="J203" s="119"/>
      <x:c r="K203" s="119"/>
      <x:c r="L203" s="119"/>
      <x:c r="M203" s="119"/>
      <x:c r="N203" s="119"/>
      <x:c r="O203" s="119"/>
      <x:c r="P203" s="119"/>
    </x:row>
    <x:row r="204">
      <x:c r="A204" s="119"/>
      <x:c r="B204" s="119"/>
      <x:c r="C204" s="119"/>
      <x:c r="D204" s="119"/>
      <x:c r="E204" s="119"/>
      <x:c r="F204" s="119"/>
      <x:c r="G204" s="119"/>
      <x:c r="H204" s="119"/>
      <x:c r="I204" s="119"/>
      <x:c r="J204" s="119"/>
      <x:c r="K204" s="119"/>
      <x:c r="L204" s="119"/>
      <x:c r="M204" s="119"/>
      <x:c r="N204" s="119"/>
      <x:c r="O204" s="119"/>
      <x:c r="P204" s="119"/>
    </x:row>
    <x:row r="205">
      <x:c r="A205" s="119"/>
      <x:c r="B205" s="119"/>
      <x:c r="C205" s="119"/>
      <x:c r="D205" s="119"/>
      <x:c r="E205" s="119"/>
      <x:c r="F205" s="119"/>
      <x:c r="G205" s="119"/>
      <x:c r="H205" s="119"/>
      <x:c r="I205" s="119"/>
      <x:c r="J205" s="119"/>
      <x:c r="K205" s="119"/>
      <x:c r="L205" s="119"/>
      <x:c r="M205" s="119"/>
      <x:c r="N205" s="119"/>
      <x:c r="O205" s="119"/>
      <x:c r="P205" s="119"/>
    </x:row>
    <x:row r="206">
      <x:c r="A206" s="119"/>
      <x:c r="B206" s="119"/>
      <x:c r="C206" s="119"/>
      <x:c r="D206" s="119"/>
      <x:c r="E206" s="119"/>
      <x:c r="F206" s="119"/>
      <x:c r="G206" s="119"/>
      <x:c r="H206" s="119"/>
      <x:c r="I206" s="119"/>
      <x:c r="J206" s="119"/>
      <x:c r="K206" s="119"/>
      <x:c r="L206" s="119"/>
      <x:c r="M206" s="119"/>
      <x:c r="N206" s="119"/>
      <x:c r="O206" s="119"/>
      <x:c r="P206" s="119"/>
    </x:row>
    <x:row r="207">
      <x:c r="A207" s="119"/>
      <x:c r="B207" s="119"/>
      <x:c r="C207" s="119"/>
      <x:c r="D207" s="119"/>
      <x:c r="E207" s="119"/>
      <x:c r="F207" s="119"/>
      <x:c r="G207" s="119"/>
      <x:c r="H207" s="119"/>
      <x:c r="I207" s="119"/>
      <x:c r="J207" s="119"/>
      <x:c r="K207" s="119"/>
      <x:c r="L207" s="119"/>
      <x:c r="M207" s="119"/>
      <x:c r="N207" s="119"/>
      <x:c r="O207" s="119"/>
      <x:c r="P207" s="119"/>
    </x:row>
    <x:row r="208">
      <x:c r="A208" s="119"/>
      <x:c r="B208" s="119"/>
      <x:c r="C208" s="119"/>
      <x:c r="D208" s="119"/>
      <x:c r="E208" s="119"/>
      <x:c r="F208" s="119"/>
      <x:c r="G208" s="119"/>
      <x:c r="H208" s="119"/>
      <x:c r="I208" s="119"/>
      <x:c r="J208" s="119"/>
      <x:c r="K208" s="119"/>
      <x:c r="L208" s="119"/>
      <x:c r="M208" s="119"/>
      <x:c r="N208" s="119"/>
      <x:c r="O208" s="119"/>
      <x:c r="P208" s="119"/>
    </x:row>
    <x:row r="209">
      <x:c r="A209" s="119"/>
      <x:c r="B209" s="119"/>
      <x:c r="C209" s="119"/>
      <x:c r="D209" s="119"/>
      <x:c r="E209" s="119"/>
      <x:c r="F209" s="119"/>
      <x:c r="G209" s="119"/>
      <x:c r="H209" s="119"/>
      <x:c r="I209" s="119"/>
      <x:c r="J209" s="119"/>
      <x:c r="K209" s="119"/>
      <x:c r="L209" s="119"/>
      <x:c r="M209" s="119"/>
      <x:c r="N209" s="119"/>
      <x:c r="O209" s="119"/>
      <x:c r="P209" s="119"/>
    </x:row>
    <x:row r="210">
      <x:c r="A210" s="119"/>
      <x:c r="B210" s="119"/>
      <x:c r="C210" s="119"/>
      <x:c r="D210" s="119"/>
      <x:c r="E210" s="119"/>
      <x:c r="F210" s="119"/>
      <x:c r="G210" s="119"/>
      <x:c r="H210" s="119"/>
      <x:c r="I210" s="119"/>
      <x:c r="J210" s="119"/>
      <x:c r="K210" s="119"/>
      <x:c r="L210" s="119"/>
      <x:c r="M210" s="119"/>
      <x:c r="N210" s="119"/>
      <x:c r="O210" s="119"/>
      <x:c r="P210" s="119"/>
    </x:row>
    <x:row r="211">
      <x:c r="A211" s="119"/>
      <x:c r="B211" s="119"/>
      <x:c r="C211" s="119"/>
      <x:c r="D211" s="119"/>
      <x:c r="E211" s="119"/>
      <x:c r="F211" s="119"/>
      <x:c r="G211" s="119"/>
      <x:c r="H211" s="119"/>
      <x:c r="I211" s="119"/>
      <x:c r="J211" s="119"/>
      <x:c r="K211" s="119"/>
      <x:c r="L211" s="119"/>
      <x:c r="M211" s="119"/>
      <x:c r="N211" s="119"/>
      <x:c r="O211" s="119"/>
      <x:c r="P211" s="119"/>
    </x:row>
    <x:row r="212">
      <x:c r="A212" s="119"/>
      <x:c r="B212" s="119"/>
      <x:c r="C212" s="119"/>
      <x:c r="D212" s="119"/>
      <x:c r="E212" s="119"/>
      <x:c r="F212" s="119"/>
      <x:c r="G212" s="119"/>
      <x:c r="H212" s="119"/>
      <x:c r="I212" s="119"/>
      <x:c r="J212" s="119"/>
      <x:c r="K212" s="119"/>
      <x:c r="L212" s="119"/>
      <x:c r="M212" s="119"/>
      <x:c r="N212" s="119"/>
      <x:c r="O212" s="119"/>
      <x:c r="P212" s="119"/>
    </x:row>
    <x:row r="213">
      <x:c r="A213" s="119"/>
      <x:c r="B213" s="119"/>
      <x:c r="C213" s="119"/>
      <x:c r="D213" s="119"/>
      <x:c r="E213" s="119"/>
      <x:c r="F213" s="119"/>
      <x:c r="G213" s="119"/>
      <x:c r="H213" s="119"/>
      <x:c r="I213" s="119"/>
      <x:c r="J213" s="119"/>
      <x:c r="K213" s="119"/>
      <x:c r="L213" s="119"/>
      <x:c r="M213" s="119"/>
      <x:c r="N213" s="119"/>
      <x:c r="O213" s="119"/>
      <x:c r="P213" s="119"/>
    </x:row>
    <x:row r="214">
      <x:c r="A214" s="119"/>
      <x:c r="B214" s="119"/>
      <x:c r="C214" s="119"/>
      <x:c r="D214" s="119"/>
      <x:c r="E214" s="119"/>
      <x:c r="F214" s="119"/>
      <x:c r="G214" s="119"/>
      <x:c r="H214" s="119"/>
      <x:c r="I214" s="119"/>
      <x:c r="J214" s="119"/>
      <x:c r="K214" s="119"/>
      <x:c r="L214" s="119"/>
      <x:c r="M214" s="119"/>
      <x:c r="N214" s="119"/>
      <x:c r="O214" s="119"/>
      <x:c r="P214" s="119"/>
    </x:row>
    <x:row r="215">
      <x:c r="A215" s="119"/>
      <x:c r="B215" s="119"/>
      <x:c r="C215" s="119"/>
      <x:c r="D215" s="119"/>
      <x:c r="E215" s="119"/>
      <x:c r="F215" s="119"/>
      <x:c r="G215" s="119"/>
      <x:c r="H215" s="119"/>
      <x:c r="I215" s="119"/>
      <x:c r="J215" s="119"/>
      <x:c r="K215" s="119"/>
      <x:c r="L215" s="119"/>
      <x:c r="M215" s="119"/>
      <x:c r="N215" s="119"/>
      <x:c r="O215" s="119"/>
      <x:c r="P215" s="119"/>
    </x:row>
    <x:row r="216">
      <x:c r="A216" s="119"/>
      <x:c r="B216" s="119"/>
      <x:c r="C216" s="119"/>
      <x:c r="D216" s="119"/>
      <x:c r="E216" s="119"/>
      <x:c r="F216" s="119"/>
      <x:c r="G216" s="119"/>
      <x:c r="H216" s="119"/>
      <x:c r="I216" s="119"/>
      <x:c r="J216" s="119"/>
      <x:c r="K216" s="119"/>
      <x:c r="L216" s="119"/>
      <x:c r="M216" s="119"/>
      <x:c r="N216" s="119"/>
      <x:c r="O216" s="119"/>
      <x:c r="P216" s="119"/>
    </x:row>
    <x:row r="217">
      <x:c r="A217" s="119"/>
      <x:c r="B217" s="119"/>
      <x:c r="C217" s="119"/>
      <x:c r="D217" s="119"/>
      <x:c r="E217" s="119"/>
      <x:c r="F217" s="119"/>
      <x:c r="G217" s="119"/>
      <x:c r="H217" s="119"/>
      <x:c r="I217" s="119"/>
      <x:c r="J217" s="119"/>
      <x:c r="K217" s="119"/>
      <x:c r="L217" s="119"/>
      <x:c r="M217" s="119"/>
      <x:c r="N217" s="119"/>
      <x:c r="O217" s="119"/>
      <x:c r="P217" s="119"/>
    </x:row>
    <x:row r="218">
      <x:c r="A218" s="119"/>
      <x:c r="B218" s="119"/>
      <x:c r="C218" s="119"/>
      <x:c r="D218" s="119"/>
      <x:c r="E218" s="119"/>
      <x:c r="F218" s="119"/>
      <x:c r="G218" s="119"/>
      <x:c r="H218" s="119"/>
      <x:c r="I218" s="119"/>
      <x:c r="J218" s="119"/>
      <x:c r="K218" s="119"/>
      <x:c r="L218" s="119"/>
      <x:c r="M218" s="119"/>
      <x:c r="N218" s="119"/>
      <x:c r="O218" s="119"/>
      <x:c r="P218" s="119"/>
    </x:row>
    <x:row r="219">
      <x:c r="A219" s="119"/>
      <x:c r="B219" s="119"/>
      <x:c r="C219" s="119"/>
      <x:c r="D219" s="119"/>
      <x:c r="E219" s="119"/>
      <x:c r="F219" s="119"/>
      <x:c r="G219" s="119"/>
      <x:c r="H219" s="119"/>
      <x:c r="I219" s="119"/>
      <x:c r="J219" s="119"/>
      <x:c r="K219" s="119"/>
      <x:c r="L219" s="119"/>
      <x:c r="M219" s="119"/>
      <x:c r="N219" s="119"/>
      <x:c r="O219" s="119"/>
      <x:c r="P219" s="119"/>
    </x:row>
    <x:row r="220">
      <x:c r="A220" s="119"/>
      <x:c r="B220" s="119"/>
      <x:c r="C220" s="119"/>
      <x:c r="D220" s="119"/>
      <x:c r="E220" s="119"/>
      <x:c r="F220" s="119"/>
      <x:c r="G220" s="119"/>
      <x:c r="H220" s="119"/>
      <x:c r="I220" s="119"/>
      <x:c r="J220" s="119"/>
      <x:c r="K220" s="119"/>
      <x:c r="L220" s="119"/>
      <x:c r="M220" s="119"/>
      <x:c r="N220" s="119"/>
      <x:c r="O220" s="119"/>
      <x:c r="P220" s="119"/>
    </x:row>
    <x:row r="221">
      <x:c r="A221" s="119"/>
      <x:c r="B221" s="119"/>
      <x:c r="C221" s="119"/>
      <x:c r="D221" s="119"/>
      <x:c r="E221" s="119"/>
      <x:c r="F221" s="119"/>
      <x:c r="G221" s="119"/>
      <x:c r="H221" s="119"/>
      <x:c r="I221" s="119"/>
      <x:c r="J221" s="119"/>
      <x:c r="K221" s="119"/>
      <x:c r="L221" s="119"/>
      <x:c r="M221" s="119"/>
      <x:c r="N221" s="119"/>
      <x:c r="O221" s="119"/>
      <x:c r="P221" s="119"/>
    </x:row>
    <x:row r="222">
      <x:c r="A222" s="119"/>
      <x:c r="B222" s="119"/>
      <x:c r="C222" s="119"/>
      <x:c r="D222" s="119"/>
      <x:c r="E222" s="119"/>
      <x:c r="F222" s="119"/>
      <x:c r="G222" s="119"/>
      <x:c r="H222" s="119"/>
      <x:c r="I222" s="119"/>
      <x:c r="J222" s="119"/>
      <x:c r="K222" s="119"/>
      <x:c r="L222" s="119"/>
      <x:c r="M222" s="119"/>
      <x:c r="N222" s="119"/>
      <x:c r="O222" s="119"/>
      <x:c r="P222" s="119"/>
    </x:row>
    <x:row r="223">
      <x:c r="A223" s="119"/>
      <x:c r="B223" s="119"/>
      <x:c r="C223" s="119"/>
      <x:c r="D223" s="119"/>
      <x:c r="E223" s="119"/>
      <x:c r="F223" s="119"/>
      <x:c r="G223" s="119"/>
      <x:c r="H223" s="119"/>
      <x:c r="I223" s="119"/>
      <x:c r="J223" s="119"/>
      <x:c r="K223" s="119"/>
      <x:c r="L223" s="119"/>
      <x:c r="M223" s="119"/>
      <x:c r="N223" s="119"/>
      <x:c r="O223" s="119"/>
      <x:c r="P223" s="119"/>
    </x:row>
    <x:row r="224">
      <x:c r="A224" s="119"/>
      <x:c r="B224" s="119"/>
      <x:c r="C224" s="119"/>
      <x:c r="D224" s="119"/>
      <x:c r="E224" s="119"/>
      <x:c r="F224" s="119"/>
      <x:c r="G224" s="119"/>
      <x:c r="H224" s="119"/>
      <x:c r="I224" s="119"/>
      <x:c r="J224" s="119"/>
      <x:c r="K224" s="119"/>
      <x:c r="L224" s="119"/>
      <x:c r="M224" s="119"/>
      <x:c r="N224" s="119"/>
      <x:c r="O224" s="119"/>
      <x:c r="P224" s="119"/>
    </x:row>
    <x:row r="225">
      <x:c r="A225" s="119"/>
      <x:c r="B225" s="119"/>
      <x:c r="C225" s="119"/>
      <x:c r="D225" s="119"/>
      <x:c r="E225" s="119"/>
      <x:c r="F225" s="119"/>
      <x:c r="G225" s="119"/>
      <x:c r="H225" s="119"/>
      <x:c r="I225" s="119"/>
      <x:c r="J225" s="119"/>
      <x:c r="K225" s="119"/>
      <x:c r="L225" s="119"/>
      <x:c r="M225" s="119"/>
      <x:c r="N225" s="119"/>
      <x:c r="O225" s="119"/>
      <x:c r="P225" s="119"/>
    </x:row>
    <x:row r="226">
      <x:c r="A226" s="119"/>
      <x:c r="B226" s="119"/>
      <x:c r="C226" s="119"/>
      <x:c r="D226" s="119"/>
      <x:c r="E226" s="119"/>
      <x:c r="F226" s="119"/>
      <x:c r="G226" s="119"/>
      <x:c r="H226" s="119"/>
      <x:c r="I226" s="119"/>
      <x:c r="J226" s="119"/>
      <x:c r="K226" s="119"/>
      <x:c r="L226" s="119"/>
      <x:c r="M226" s="119"/>
      <x:c r="N226" s="119"/>
      <x:c r="O226" s="119"/>
      <x:c r="P226" s="119"/>
    </x:row>
    <x:row r="227">
      <x:c r="A227" s="119"/>
      <x:c r="B227" s="119"/>
      <x:c r="C227" s="119"/>
      <x:c r="D227" s="119"/>
      <x:c r="E227" s="119"/>
      <x:c r="F227" s="119"/>
      <x:c r="G227" s="119"/>
      <x:c r="H227" s="119"/>
      <x:c r="I227" s="119"/>
      <x:c r="J227" s="119"/>
      <x:c r="K227" s="119"/>
      <x:c r="L227" s="119"/>
      <x:c r="M227" s="119"/>
      <x:c r="N227" s="119"/>
      <x:c r="O227" s="119"/>
      <x:c r="P227" s="119"/>
    </x:row>
    <x:row r="228">
      <x:c r="A228" s="119"/>
      <x:c r="B228" s="119"/>
      <x:c r="C228" s="119"/>
      <x:c r="D228" s="119"/>
      <x:c r="E228" s="119"/>
      <x:c r="F228" s="119"/>
      <x:c r="G228" s="119"/>
      <x:c r="H228" s="119"/>
      <x:c r="I228" s="119"/>
      <x:c r="J228" s="119"/>
      <x:c r="K228" s="119"/>
      <x:c r="L228" s="119"/>
      <x:c r="M228" s="119"/>
      <x:c r="N228" s="119"/>
      <x:c r="O228" s="119"/>
      <x:c r="P228" s="119"/>
    </x:row>
    <x:row r="229">
      <x:c r="A229" s="119"/>
      <x:c r="B229" s="119"/>
      <x:c r="C229" s="119"/>
      <x:c r="D229" s="119"/>
      <x:c r="E229" s="119"/>
      <x:c r="F229" s="119"/>
      <x:c r="G229" s="119"/>
      <x:c r="H229" s="119"/>
      <x:c r="I229" s="119"/>
      <x:c r="J229" s="119"/>
      <x:c r="K229" s="119"/>
      <x:c r="L229" s="119"/>
      <x:c r="M229" s="119"/>
      <x:c r="N229" s="119"/>
      <x:c r="O229" s="119"/>
      <x:c r="P229" s="119"/>
    </x:row>
    <x:row r="230">
      <x:c r="A230" s="119"/>
      <x:c r="B230" s="119"/>
      <x:c r="C230" s="119"/>
      <x:c r="D230" s="119"/>
      <x:c r="E230" s="119"/>
      <x:c r="F230" s="119"/>
      <x:c r="G230" s="119"/>
      <x:c r="H230" s="119"/>
      <x:c r="I230" s="119"/>
      <x:c r="J230" s="119"/>
      <x:c r="K230" s="119"/>
      <x:c r="L230" s="119"/>
      <x:c r="M230" s="119"/>
      <x:c r="N230" s="119"/>
      <x:c r="O230" s="119"/>
      <x:c r="P230" s="119"/>
    </x:row>
    <x:row r="231">
      <x:c r="A231" s="119"/>
      <x:c r="B231" s="119"/>
      <x:c r="C231" s="119"/>
      <x:c r="D231" s="119"/>
      <x:c r="E231" s="119"/>
      <x:c r="F231" s="119"/>
      <x:c r="G231" s="119"/>
      <x:c r="H231" s="119"/>
      <x:c r="I231" s="119"/>
      <x:c r="J231" s="119"/>
      <x:c r="K231" s="119"/>
      <x:c r="L231" s="119"/>
      <x:c r="M231" s="119"/>
      <x:c r="N231" s="119"/>
      <x:c r="O231" s="119"/>
      <x:c r="P231" s="119"/>
    </x:row>
    <x:row r="232">
      <x:c r="A232" s="119"/>
      <x:c r="B232" s="119"/>
      <x:c r="C232" s="119"/>
      <x:c r="D232" s="119"/>
      <x:c r="E232" s="119"/>
      <x:c r="F232" s="119"/>
      <x:c r="G232" s="119"/>
      <x:c r="H232" s="119"/>
      <x:c r="I232" s="119"/>
      <x:c r="J232" s="119"/>
      <x:c r="K232" s="119"/>
      <x:c r="L232" s="119"/>
      <x:c r="M232" s="119"/>
      <x:c r="N232" s="119"/>
      <x:c r="O232" s="119"/>
      <x:c r="P232" s="119"/>
    </x:row>
    <x:row r="233">
      <x:c r="A233" s="119"/>
      <x:c r="B233" s="119"/>
      <x:c r="C233" s="119"/>
      <x:c r="D233" s="119"/>
      <x:c r="E233" s="119"/>
      <x:c r="F233" s="119"/>
      <x:c r="G233" s="119"/>
      <x:c r="H233" s="119"/>
      <x:c r="I233" s="119"/>
      <x:c r="J233" s="119"/>
      <x:c r="K233" s="119"/>
      <x:c r="L233" s="119"/>
      <x:c r="M233" s="119"/>
      <x:c r="N233" s="119"/>
      <x:c r="O233" s="119"/>
      <x:c r="P233" s="119"/>
    </x:row>
    <x:row r="234">
      <x:c r="A234" s="119"/>
      <x:c r="B234" s="119"/>
      <x:c r="C234" s="119"/>
      <x:c r="D234" s="119"/>
      <x:c r="E234" s="119"/>
      <x:c r="F234" s="119"/>
      <x:c r="G234" s="119"/>
      <x:c r="H234" s="119"/>
      <x:c r="I234" s="119"/>
      <x:c r="J234" s="119"/>
      <x:c r="K234" s="119"/>
      <x:c r="L234" s="119"/>
      <x:c r="M234" s="119"/>
      <x:c r="N234" s="119"/>
      <x:c r="O234" s="119"/>
      <x:c r="P234" s="119"/>
    </x:row>
    <x:row r="235">
      <x:c r="A235" s="119"/>
      <x:c r="B235" s="119"/>
      <x:c r="C235" s="119"/>
      <x:c r="D235" s="119"/>
      <x:c r="E235" s="119"/>
      <x:c r="F235" s="119"/>
      <x:c r="G235" s="119"/>
      <x:c r="H235" s="119"/>
      <x:c r="I235" s="119"/>
      <x:c r="J235" s="119"/>
      <x:c r="K235" s="119"/>
      <x:c r="L235" s="119"/>
      <x:c r="M235" s="119"/>
      <x:c r="N235" s="119"/>
      <x:c r="O235" s="119"/>
      <x:c r="P235" s="119"/>
    </x:row>
    <x:row r="236">
      <x:c r="A236" s="119"/>
      <x:c r="B236" s="119"/>
      <x:c r="C236" s="119"/>
      <x:c r="D236" s="119"/>
      <x:c r="E236" s="119"/>
      <x:c r="F236" s="119"/>
      <x:c r="G236" s="119"/>
      <x:c r="H236" s="119"/>
      <x:c r="I236" s="119"/>
      <x:c r="J236" s="119"/>
      <x:c r="K236" s="119"/>
      <x:c r="L236" s="119"/>
      <x:c r="M236" s="119"/>
      <x:c r="N236" s="119"/>
      <x:c r="O236" s="119"/>
      <x:c r="P236" s="119"/>
    </x:row>
    <x:row r="237">
      <x:c r="A237" s="119"/>
      <x:c r="B237" s="119"/>
      <x:c r="C237" s="119"/>
      <x:c r="D237" s="119"/>
      <x:c r="E237" s="119"/>
      <x:c r="F237" s="119"/>
      <x:c r="G237" s="119"/>
      <x:c r="H237" s="119"/>
      <x:c r="I237" s="119"/>
      <x:c r="J237" s="119"/>
      <x:c r="K237" s="119"/>
      <x:c r="L237" s="119"/>
      <x:c r="M237" s="119"/>
      <x:c r="N237" s="119"/>
      <x:c r="O237" s="119"/>
      <x:c r="P237" s="119"/>
    </x:row>
    <x:row r="238">
      <x:c r="A238" s="119"/>
      <x:c r="B238" s="119"/>
      <x:c r="C238" s="119"/>
      <x:c r="D238" s="119"/>
      <x:c r="E238" s="119"/>
      <x:c r="F238" s="119"/>
      <x:c r="G238" s="119"/>
      <x:c r="H238" s="119"/>
      <x:c r="I238" s="119"/>
      <x:c r="J238" s="119"/>
      <x:c r="K238" s="119"/>
      <x:c r="L238" s="119"/>
      <x:c r="M238" s="119"/>
      <x:c r="N238" s="119"/>
      <x:c r="O238" s="119"/>
      <x:c r="P238" s="119"/>
    </x:row>
    <x:row r="239">
      <x:c r="A239" s="119"/>
      <x:c r="B239" s="119"/>
      <x:c r="C239" s="119"/>
      <x:c r="D239" s="119"/>
      <x:c r="E239" s="119"/>
      <x:c r="F239" s="119"/>
      <x:c r="G239" s="119"/>
      <x:c r="H239" s="119"/>
      <x:c r="I239" s="119"/>
      <x:c r="J239" s="119"/>
      <x:c r="K239" s="119"/>
      <x:c r="L239" s="119"/>
      <x:c r="M239" s="119"/>
      <x:c r="N239" s="119"/>
      <x:c r="O239" s="119"/>
      <x:c r="P239" s="119"/>
    </x:row>
    <x:row r="240">
      <x:c r="A240" s="119"/>
      <x:c r="B240" s="119"/>
      <x:c r="C240" s="119"/>
      <x:c r="D240" s="119"/>
      <x:c r="E240" s="119"/>
      <x:c r="F240" s="119"/>
      <x:c r="G240" s="119"/>
      <x:c r="H240" s="119"/>
      <x:c r="I240" s="119"/>
      <x:c r="J240" s="119"/>
      <x:c r="K240" s="119"/>
      <x:c r="L240" s="119"/>
      <x:c r="M240" s="119"/>
      <x:c r="N240" s="119"/>
      <x:c r="O240" s="119"/>
      <x:c r="P240" s="119"/>
    </x:row>
    <x:row r="241">
      <x:c r="A241" s="119"/>
      <x:c r="B241" s="119"/>
      <x:c r="C241" s="119"/>
      <x:c r="D241" s="119"/>
      <x:c r="E241" s="119"/>
      <x:c r="F241" s="119"/>
      <x:c r="G241" s="119"/>
      <x:c r="H241" s="119"/>
      <x:c r="I241" s="119"/>
      <x:c r="J241" s="119"/>
      <x:c r="K241" s="119"/>
      <x:c r="L241" s="119"/>
      <x:c r="M241" s="119"/>
      <x:c r="N241" s="119"/>
      <x:c r="O241" s="119"/>
      <x:c r="P241" s="119"/>
    </x:row>
    <x:row r="242">
      <x:c r="A242" s="119"/>
      <x:c r="B242" s="119"/>
      <x:c r="C242" s="119"/>
      <x:c r="D242" s="119"/>
      <x:c r="E242" s="119"/>
      <x:c r="F242" s="119"/>
      <x:c r="G242" s="119"/>
      <x:c r="H242" s="119"/>
      <x:c r="I242" s="119"/>
      <x:c r="J242" s="119"/>
      <x:c r="K242" s="119"/>
      <x:c r="L242" s="119"/>
      <x:c r="M242" s="119"/>
      <x:c r="N242" s="119"/>
      <x:c r="O242" s="119"/>
      <x:c r="P242" s="119"/>
    </x:row>
    <x:row r="243">
      <x:c r="A243" s="119"/>
      <x:c r="B243" s="119"/>
      <x:c r="C243" s="119"/>
      <x:c r="D243" s="119"/>
      <x:c r="E243" s="119"/>
      <x:c r="F243" s="119"/>
      <x:c r="G243" s="119"/>
      <x:c r="H243" s="119"/>
      <x:c r="I243" s="119"/>
      <x:c r="J243" s="119"/>
      <x:c r="K243" s="119"/>
      <x:c r="L243" s="119"/>
      <x:c r="M243" s="119"/>
      <x:c r="N243" s="119"/>
      <x:c r="O243" s="119"/>
      <x:c r="P243" s="119"/>
    </x:row>
    <x:row r="244">
      <x:c r="A244" s="119"/>
      <x:c r="B244" s="119"/>
      <x:c r="C244" s="119"/>
      <x:c r="D244" s="119"/>
      <x:c r="E244" s="119"/>
      <x:c r="F244" s="119"/>
      <x:c r="G244" s="119"/>
      <x:c r="H244" s="119"/>
      <x:c r="I244" s="119"/>
      <x:c r="J244" s="119"/>
      <x:c r="K244" s="119"/>
      <x:c r="L244" s="119"/>
      <x:c r="M244" s="119"/>
      <x:c r="N244" s="119"/>
      <x:c r="O244" s="119"/>
      <x:c r="P244" s="119"/>
    </x:row>
    <x:row r="245">
      <x:c r="A245" s="119"/>
      <x:c r="B245" s="119"/>
      <x:c r="C245" s="119"/>
      <x:c r="D245" s="119"/>
      <x:c r="E245" s="119"/>
      <x:c r="F245" s="119"/>
      <x:c r="G245" s="119"/>
      <x:c r="H245" s="119"/>
      <x:c r="I245" s="119"/>
      <x:c r="J245" s="119"/>
      <x:c r="K245" s="119"/>
      <x:c r="L245" s="119"/>
      <x:c r="M245" s="119"/>
      <x:c r="N245" s="119"/>
      <x:c r="O245" s="119"/>
      <x:c r="P245" s="119"/>
    </x:row>
    <x:row r="246">
      <x:c r="A246" s="119"/>
      <x:c r="B246" s="119"/>
      <x:c r="C246" s="119"/>
      <x:c r="D246" s="119"/>
      <x:c r="E246" s="119"/>
      <x:c r="F246" s="119"/>
      <x:c r="G246" s="119"/>
      <x:c r="H246" s="119"/>
      <x:c r="I246" s="119"/>
      <x:c r="J246" s="119"/>
      <x:c r="K246" s="119"/>
      <x:c r="L246" s="119"/>
      <x:c r="M246" s="119"/>
      <x:c r="N246" s="119"/>
      <x:c r="O246" s="119"/>
      <x:c r="P246" s="119"/>
    </x:row>
    <x:row r="247">
      <x:c r="A247" s="119"/>
      <x:c r="B247" s="119"/>
      <x:c r="C247" s="119"/>
      <x:c r="D247" s="119"/>
      <x:c r="E247" s="119"/>
      <x:c r="F247" s="119"/>
      <x:c r="G247" s="119"/>
      <x:c r="H247" s="119"/>
      <x:c r="I247" s="119"/>
      <x:c r="J247" s="119"/>
      <x:c r="K247" s="119"/>
      <x:c r="L247" s="119"/>
      <x:c r="M247" s="119"/>
      <x:c r="N247" s="119"/>
      <x:c r="O247" s="119"/>
      <x:c r="P247" s="119"/>
    </x:row>
    <x:row r="248">
      <x:c r="A248" s="119"/>
      <x:c r="B248" s="119"/>
      <x:c r="C248" s="119"/>
      <x:c r="D248" s="119"/>
      <x:c r="E248" s="119"/>
      <x:c r="F248" s="119"/>
      <x:c r="G248" s="119"/>
      <x:c r="H248" s="119"/>
      <x:c r="I248" s="119"/>
      <x:c r="J248" s="119"/>
      <x:c r="K248" s="119"/>
      <x:c r="L248" s="119"/>
      <x:c r="M248" s="119"/>
      <x:c r="N248" s="119"/>
      <x:c r="O248" s="119"/>
      <x:c r="P248" s="119"/>
    </x:row>
    <x:row r="249">
      <x:c r="A249" s="119"/>
      <x:c r="B249" s="119"/>
      <x:c r="C249" s="119"/>
      <x:c r="D249" s="119"/>
      <x:c r="E249" s="119"/>
      <x:c r="F249" s="119"/>
      <x:c r="G249" s="119"/>
      <x:c r="H249" s="119"/>
      <x:c r="I249" s="119"/>
      <x:c r="J249" s="119"/>
      <x:c r="K249" s="119"/>
      <x:c r="L249" s="119"/>
      <x:c r="M249" s="119"/>
      <x:c r="N249" s="119"/>
      <x:c r="O249" s="119"/>
      <x:c r="P249" s="119"/>
    </x:row>
    <x:row r="250">
      <x:c r="A250" s="119"/>
      <x:c r="B250" s="119"/>
      <x:c r="C250" s="119"/>
      <x:c r="D250" s="119"/>
      <x:c r="E250" s="119"/>
      <x:c r="F250" s="119"/>
      <x:c r="G250" s="119"/>
      <x:c r="H250" s="119"/>
      <x:c r="I250" s="119"/>
      <x:c r="J250" s="119"/>
      <x:c r="K250" s="119"/>
      <x:c r="L250" s="119"/>
      <x:c r="M250" s="119"/>
      <x:c r="N250" s="119"/>
      <x:c r="O250" s="119"/>
      <x:c r="P250" s="119"/>
    </x:row>
  </x:sheetData>
  <x:conditionalFormatting sqref="F2:F100">
    <x:cfRule type="dataBar" priority="1">
      <x:dataBar>
        <x:cfvo type="min"/>
        <x:cfvo type="max"/>
        <x:color rgb="FFA02B93"/>
      </x:dataBar>
      <x:extLst>
        <x:ext xmlns:x14="http://schemas.microsoft.com/office/spreadsheetml/2009/9/main" uri="{B025F937-C7B1-47D3-B67F-A62EFF666E3E}">
          <x14:id>{7E13105D-3064-4A7A-9FFB-A05384B896C3}</x14:id>
        </x:ext>
      </x:extLst>
    </x:cfRule>
  </x:conditionalFormatting>
  <x:conditionalFormatting sqref="H2:H100">
    <x:cfRule type="colorScale" priority="2">
      <x:colorScale>
        <x:cfvo type="min"/>
        <x:cfvo type="percentile" val="50"/>
        <x:cfvo type="max"/>
        <x:color rgb="FFD9EAD3"/>
        <x:color rgb="FFFFF2CC"/>
        <x:color rgb="FFF4CCCC"/>
      </x:colorScale>
    </x:cfRule>
  </x:conditionalFormatting>
  <x:conditionalFormatting sqref="O2:O100">
    <x:cfRule type="expression" dxfId="0" priority="3">
      <x:formula>O2="Implemented"</x:formula>
    </x:cfRule>
    <x:cfRule type="expression" dxfId="1" priority="4">
      <x:formula>O2="In Progress"</x:formula>
    </x:cfRule>
    <x:cfRule type="expression" dxfId="2" priority="5">
      <x:formula>O2="Not Started"</x:formula>
    </x:cfRule>
    <x:cfRule type="expression" dxfId="3" priority="6">
      <x:formula>O2="Blocked"</x:formula>
    </x:cfRule>
    <x:cfRule type="expression" dxfId="4" priority="7">
      <x:formula>O2="Accepted"</x:formula>
    </x:cfRule>
  </x:conditionalFormatting>
  <x:conditionalFormatting sqref="P2:P100">
    <x:cfRule type="expression" dxfId="5" priority="8">
      <x:formula>P2="Available"</x:formula>
    </x:cfRule>
    <x:cfRule type="expression" dxfId="6" priority="9">
      <x:formula>P2="Partial"</x:formula>
    </x:cfRule>
    <x:cfRule type="expression" dxfId="7" priority="10">
      <x:formula>P2="Planned"</x:formula>
    </x:cfRule>
    <x:cfRule type="expression" dxfId="8" priority="11">
      <x:formula>P2="Missing"</x:formula>
    </x:cfRule>
    <x:cfRule type="expression" dxfId="9" priority="12">
      <x:formula>P2="Not Applicable"</x:formula>
    </x:cfRule>
  </x:conditionalFormatting>
  <x:dataValidations count="4">
    <x:dataValidation type="list" sqref="F2:F100">
      <x:formula1>"0,1,2,3,4"</x:formula1>
    </x:dataValidation>
    <x:dataValidation type="list" sqref="G2:G100">
      <x:formula1>"0,1,2,3,4"</x:formula1>
    </x:dataValidation>
    <x:dataValidation type="list" sqref="O2:O100">
      <x:formula1>"Not Started,In Progress,Implemented,Accepted,Blocked"</x:formula1>
    </x:dataValidation>
    <x:dataValidation type="list" sqref="P2:P100">
      <x:formula1>"Available,Partial,Planned,Missing,Not Applicable"</x:formula1>
    </x:dataValidation>
  </x:dataValidations>
  <x:pageMargins left="0.7" right="0.7" top="0.75" bottom="0.75" header="0.3" footer="0.3"/>
  <x:tableParts count="1">
    <x:tablePart xmlns:r="http://schemas.openxmlformats.org/officeDocument/2006/relationships" r:id="Rf4fe536662254c43"/>
  </x:tableParts>
  <x:extLst>
    <x:ext xmlns:x14="http://schemas.microsoft.com/office/spreadsheetml/2009/9/main" xmlns:xm="http://schemas.microsoft.com/office/excel/2006/main" uri="{78C0D931-6437-407d-A8EE-F0AAD7539E65}">
      <x14:conditionalFormattings>
        <x14:conditionalFormatting>
          <x14:cfRule type="dataBar" priority="1" id="{7E13105D-3064-4A7A-9FFB-A05384B896C3}">
            <x14:dataBar gradient="1">
              <x14:cfvo type="min"/>
              <x14:cfvo type="max"/>
              <x14:fillColor rgb="FFA02B93"/>
            </x14:dataBar>
          </x14:cfRule>
          <xm:sqref>F2:F100</xm:sqref>
        </x14:conditionalFormatting>
      </x14:conditionalFormattings>
    </x:ext>
  </x:extLst>
</x:worksheet>
</file>

<file path=xl/worksheets/sheet3.xml><?xml version="1.0" encoding="utf-8"?>
<x:worksheet xmlns:x="http://schemas.openxmlformats.org/spreadsheetml/2006/main">
  <x:sheetFormatPr defaultRowHeight="15"/>
  <x:cols>
    <x:col min="1" max="1" width="9" hidden="0" customWidth="1"/>
    <x:col min="2" max="2" width="39" hidden="0" customWidth="1"/>
    <x:col min="3" max="3" width="14" hidden="0" customWidth="1"/>
    <x:col min="4" max="4" width="13" hidden="0" customWidth="1"/>
    <x:col min="5" max="5" width="31" hidden="0" customWidth="1"/>
    <x:col min="6" max="6" width="32" hidden="0" customWidth="1"/>
    <x:col min="7" max="7" width="54" hidden="0" customWidth="1"/>
    <x:col min="8" max="8" width="56" hidden="0" customWidth="1"/>
  </x:cols>
  <x:sheetData>
    <x:row r="1" ht="42" customHeight="1">
      <x:c r="A1" s="11" t="str">
        <x:v>Risk ID</x:v>
      </x:c>
      <x:c r="B1" s="11" t="str">
        <x:v>Risk Title</x:v>
      </x:c>
      <x:c r="C1" s="11" t="str">
        <x:v>Residual Rating</x:v>
      </x:c>
      <x:c r="D1" s="11" t="str">
        <x:v>Residual Score</x:v>
      </x:c>
      <x:c r="E1" s="11" t="str">
        <x:v>Primary CSF Categories</x:v>
      </x:c>
      <x:c r="F1" s="11" t="str">
        <x:v>Secondary CSF Categories</x:v>
      </x:c>
      <x:c r="G1" s="11" t="str">
        <x:v>Why These Categories Matter</x:v>
      </x:c>
      <x:c r="H1" s="11" t="str">
        <x:v>Highest-Priority Control Response</x:v>
      </x:c>
      <x:c r="I1" s="119"/>
      <x:c r="J1" s="119"/>
      <x:c r="K1" s="119"/>
      <x:c r="L1" s="119"/>
      <x:c r="M1" s="119"/>
      <x:c r="N1" s="119"/>
      <x:c r="O1" s="119"/>
      <x:c r="P1" s="119"/>
    </x:row>
    <x:row r="2">
      <x:c r="A2" s="20" t="str">
        <x:v>R-01</x:v>
      </x:c>
      <x:c r="B2" s="20" t="str">
        <x:v>Business Email Compromise / Payment Fraud</x:v>
      </x:c>
      <x:c r="C2" s="20" t="str">
        <x:v>High</x:v>
      </x:c>
      <x:c r="D2" s="20" t="n">
        <x:v>10</x:v>
      </x:c>
      <x:c r="E2" s="20" t="str">
        <x:v>PR.AA; PR.AT</x:v>
      </x:c>
      <x:c r="F2" s="20" t="str">
        <x:v>DE.CM; RS.AN; GV.RM</x:v>
      </x:c>
      <x:c r="G2" s="20" t="str">
        <x:v>Strong identity, user awareness, monitoring and incident analysis reduce fraud opportunity.</x:v>
      </x:c>
      <x:c r="H2" s="20" t="str">
        <x:v>Universal strong authentication; anti-impersonation; payment verification; finance alerting.</x:v>
      </x:c>
      <x:c r="I2" s="119"/>
      <x:c r="J2" s="119"/>
      <x:c r="K2" s="119"/>
      <x:c r="L2" s="119"/>
      <x:c r="M2" s="119"/>
      <x:c r="N2" s="119"/>
      <x:c r="O2" s="119"/>
      <x:c r="P2" s="119"/>
    </x:row>
    <x:row r="3">
      <x:c r="A3" s="20" t="str">
        <x:v>R-02</x:v>
      </x:c>
      <x:c r="B3" s="20" t="str">
        <x:v>Executive Account Compromise</x:v>
      </x:c>
      <x:c r="C3" s="20" t="str">
        <x:v>Moderate</x:v>
      </x:c>
      <x:c r="D3" s="20" t="n">
        <x:v>8</x:v>
      </x:c>
      <x:c r="E3" s="20" t="str">
        <x:v>PR.AA; DE.CM</x:v>
      </x:c>
      <x:c r="F3" s="20" t="str">
        <x:v>PR.AT; RS.AN; RS.MI</x:v>
      </x:c>
      <x:c r="G3" s="20" t="str">
        <x:v>Executive accounts require stronger authentication and rapid detection/containment.</x:v>
      </x:c>
      <x:c r="H3" s="20" t="str">
        <x:v>Phishing-resistant MFA; high-risk sign-in policies; token/session revocation.</x:v>
      </x:c>
      <x:c r="I3" s="119"/>
      <x:c r="J3" s="119"/>
      <x:c r="K3" s="119"/>
      <x:c r="L3" s="119"/>
      <x:c r="M3" s="119"/>
      <x:c r="N3" s="119"/>
      <x:c r="O3" s="119"/>
      <x:c r="P3" s="119"/>
    </x:row>
    <x:row r="4">
      <x:c r="A4" s="20" t="str">
        <x:v>R-03</x:v>
      </x:c>
      <x:c r="B4" s="20" t="str">
        <x:v>Cloud Account Compromise from Incomplete MFA</x:v>
      </x:c>
      <x:c r="C4" s="20" t="str">
        <x:v>Moderate</x:v>
      </x:c>
      <x:c r="D4" s="20" t="n">
        <x:v>8</x:v>
      </x:c>
      <x:c r="E4" s="20" t="str">
        <x:v>PR.AA</x:v>
      </x:c>
      <x:c r="F4" s="20" t="str">
        <x:v>DE.CM; ID.RA</x:v>
      </x:c>
      <x:c r="G4" s="20" t="str">
        <x:v>Credential-based entry is primarily an identity/access control failure.</x:v>
      </x:c>
      <x:c r="H4" s="20" t="str">
        <x:v>Universal MFA; disable legacy authentication; dormant-account review; conditional access.</x:v>
      </x:c>
      <x:c r="I4" s="119"/>
      <x:c r="J4" s="119"/>
      <x:c r="K4" s="119"/>
      <x:c r="L4" s="119"/>
      <x:c r="M4" s="119"/>
      <x:c r="N4" s="119"/>
      <x:c r="O4" s="119"/>
      <x:c r="P4" s="119"/>
    </x:row>
    <x:row r="5">
      <x:c r="A5" s="20" t="str">
        <x:v>R-04</x:v>
      </x:c>
      <x:c r="B5" s="20" t="str">
        <x:v>Privileged Identity / Administrator Takeover</x:v>
      </x:c>
      <x:c r="C5" s="20" t="str">
        <x:v>High</x:v>
      </x:c>
      <x:c r="D5" s="20" t="n">
        <x:v>10</x:v>
      </x:c>
      <x:c r="E5" s="20" t="str">
        <x:v>PR.AA; GV.RR</x:v>
      </x:c>
      <x:c r="F5" s="20" t="str">
        <x:v>DE.CM; PR.PS</x:v>
      </x:c>
      <x:c r="G5" s="20" t="str">
        <x:v>Privileged identity governance and administrator operating practices are decisive controls.</x:v>
      </x:c>
      <x:c r="H5" s="20" t="str">
        <x:v>Quarterly privilege recertification; separate admin identities; hardened admin access; vault all secrets.</x:v>
      </x:c>
      <x:c r="I5" s="119"/>
      <x:c r="J5" s="119"/>
      <x:c r="K5" s="119"/>
      <x:c r="L5" s="119"/>
      <x:c r="M5" s="119"/>
      <x:c r="N5" s="119"/>
      <x:c r="O5" s="119"/>
      <x:c r="P5" s="119"/>
    </x:row>
    <x:row r="6">
      <x:c r="A6" s="20" t="str">
        <x:v>R-05</x:v>
      </x:c>
      <x:c r="B6" s="20" t="str">
        <x:v>Ransomware / Enterprise File Encryption</x:v>
      </x:c>
      <x:c r="C6" s="20" t="str">
        <x:v>High</x:v>
      </x:c>
      <x:c r="D6" s="20" t="n">
        <x:v>15</x:v>
      </x:c>
      <x:c r="E6" s="20" t="str">
        <x:v>PR.PS; PR.IR</x:v>
      </x:c>
      <x:c r="F6" s="20" t="str">
        <x:v>DE.CM; RS.MI; RC.RP</x:v>
      </x:c>
      <x:c r="G6" s="20" t="str">
        <x:v>Platform hardening, monitoring, containment and recoverability determine ransomware impact.</x:v>
      </x:c>
      <x:c r="H6" s="20" t="str">
        <x:v>Patch/EDR hardening; legacy segmentation; ransomware playbook; immutable recovery.</x:v>
      </x:c>
      <x:c r="I6" s="119"/>
      <x:c r="J6" s="119"/>
      <x:c r="K6" s="119"/>
      <x:c r="L6" s="119"/>
      <x:c r="M6" s="119"/>
      <x:c r="N6" s="119"/>
      <x:c r="O6" s="119"/>
      <x:c r="P6" s="119"/>
    </x:row>
    <x:row r="7">
      <x:c r="A7" s="20" t="str">
        <x:v>R-06</x:v>
      </x:c>
      <x:c r="B7" s="20" t="str">
        <x:v>Backup Compromise / Recovery Failure</x:v>
      </x:c>
      <x:c r="C7" s="20" t="str">
        <x:v>High</x:v>
      </x:c>
      <x:c r="D7" s="20" t="n">
        <x:v>10</x:v>
      </x:c>
      <x:c r="E7" s="20" t="str">
        <x:v>PR.IR; RC.RP</x:v>
      </x:c>
      <x:c r="F7" s="20" t="str">
        <x:v>PR.AA; ID.IM</x:v>
      </x:c>
      <x:c r="G7" s="20" t="str">
        <x:v>Backups must be protected and validated as a trustworthy recovery capability.</x:v>
      </x:c>
      <x:c r="H7" s="20" t="str">
        <x:v>Immutable backups; separate backup identity; quarterly restore tests; recovery evidence.</x:v>
      </x:c>
      <x:c r="I7" s="119"/>
      <x:c r="J7" s="119"/>
      <x:c r="K7" s="119"/>
      <x:c r="L7" s="119"/>
      <x:c r="M7" s="119"/>
      <x:c r="N7" s="119"/>
      <x:c r="O7" s="119"/>
      <x:c r="P7" s="119"/>
    </x:row>
    <x:row r="8">
      <x:c r="A8" s="20" t="str">
        <x:v>R-07</x:v>
      </x:c>
      <x:c r="B8" s="20" t="str">
        <x:v>Legacy Infrastructure Exploitation</x:v>
      </x:c>
      <x:c r="C8" s="20" t="str">
        <x:v>High</x:v>
      </x:c>
      <x:c r="D8" s="20" t="n">
        <x:v>12</x:v>
      </x:c>
      <x:c r="E8" s="20" t="str">
        <x:v>PR.PS; ID.IM</x:v>
      </x:c>
      <x:c r="F8" s="20" t="str">
        <x:v>ID.AM; DE.CM</x:v>
      </x:c>
      <x:c r="G8" s="20" t="str">
        <x:v>Legacy technology must be identified, isolated, monitored and improved or retired.</x:v>
      </x:c>
      <x:c r="H8" s="20" t="str">
        <x:v>Legacy isolation/migration; remove obsolete protocols/accounts; log forwarding.</x:v>
      </x:c>
      <x:c r="I8" s="119"/>
      <x:c r="J8" s="119"/>
      <x:c r="K8" s="119"/>
      <x:c r="L8" s="119"/>
      <x:c r="M8" s="119"/>
      <x:c r="N8" s="119"/>
      <x:c r="O8" s="119"/>
      <x:c r="P8" s="119"/>
    </x:row>
    <x:row r="9">
      <x:c r="A9" s="20" t="str">
        <x:v>R-08</x:v>
      </x:c>
      <x:c r="B9" s="20" t="str">
        <x:v>Remote Employee Endpoint Compromise</x:v>
      </x:c>
      <x:c r="C9" s="20" t="str">
        <x:v>Moderate</x:v>
      </x:c>
      <x:c r="D9" s="20" t="n">
        <x:v>6</x:v>
      </x:c>
      <x:c r="E9" s="20" t="str">
        <x:v>PR.PS; PR.AA</x:v>
      </x:c>
      <x:c r="F9" s="20" t="str">
        <x:v>PR.DS; DE.CM</x:v>
      </x:c>
      <x:c r="G9" s="20" t="str">
        <x:v>Remote endpoints require strong platform security, device access and data controls.</x:v>
      </x:c>
      <x:c r="H9" s="20" t="str">
        <x:v>Patch/encryption compliance; remove local admin; device compliance and remote wipe.</x:v>
      </x:c>
      <x:c r="I9" s="119"/>
      <x:c r="J9" s="119"/>
      <x:c r="K9" s="119"/>
      <x:c r="L9" s="119"/>
      <x:c r="M9" s="119"/>
      <x:c r="N9" s="119"/>
      <x:c r="O9" s="119"/>
      <x:c r="P9" s="119"/>
    </x:row>
    <x:row r="10">
      <x:c r="A10" s="20" t="str">
        <x:v>R-09</x:v>
      </x:c>
      <x:c r="B10" s="20" t="str">
        <x:v>Cloud File Sharing / Oversharing</x:v>
      </x:c>
      <x:c r="C10" s="20" t="str">
        <x:v>Moderate</x:v>
      </x:c>
      <x:c r="D10" s="20" t="n">
        <x:v>6</x:v>
      </x:c>
      <x:c r="E10" s="20" t="str">
        <x:v>PR.DS</x:v>
      </x:c>
      <x:c r="F10" s="20" t="str">
        <x:v>PR.AA; DE.CM</x:v>
      </x:c>
      <x:c r="G10" s="20" t="str">
        <x:v>Information-sharing controls and monitoring reduce accidental disclosure.</x:v>
      </x:c>
      <x:c r="H10" s="20" t="str">
        <x:v>Restrict external sharing; DLP/sensitivity labels; review external shares.</x:v>
      </x:c>
      <x:c r="I10" s="119"/>
      <x:c r="J10" s="119"/>
      <x:c r="K10" s="119"/>
      <x:c r="L10" s="119"/>
      <x:c r="M10" s="119"/>
      <x:c r="N10" s="119"/>
      <x:c r="O10" s="119"/>
      <x:c r="P10" s="119"/>
    </x:row>
    <x:row r="11">
      <x:c r="A11" s="20" t="str">
        <x:v>R-10</x:v>
      </x:c>
      <x:c r="B11" s="20" t="str">
        <x:v>Customer Data Exfiltration from CRM</x:v>
      </x:c>
      <x:c r="C11" s="20" t="str">
        <x:v>Moderate</x:v>
      </x:c>
      <x:c r="D11" s="20" t="n">
        <x:v>6</x:v>
      </x:c>
      <x:c r="E11" s="20" t="str">
        <x:v>PR.DS; PR.AA</x:v>
      </x:c>
      <x:c r="F11" s="20" t="str">
        <x:v>DE.CM; GV.RR</x:v>
      </x:c>
      <x:c r="G11" s="20" t="str">
        <x:v>Access, export governance and monitoring are needed around customer data.</x:v>
      </x:c>
      <x:c r="H11" s="20" t="str">
        <x:v>Restrict exports; DLP; large-export alerts; quarterly CRM access review.</x:v>
      </x:c>
      <x:c r="I11" s="119"/>
      <x:c r="J11" s="119"/>
      <x:c r="K11" s="119"/>
      <x:c r="L11" s="119"/>
      <x:c r="M11" s="119"/>
      <x:c r="N11" s="119"/>
      <x:c r="O11" s="119"/>
      <x:c r="P11" s="119"/>
    </x:row>
    <x:row r="12">
      <x:c r="A12" s="20" t="str">
        <x:v>R-11</x:v>
      </x:c>
      <x:c r="B12" s="20" t="str">
        <x:v>HR Data Unauthorized Access or Modification</x:v>
      </x:c>
      <x:c r="C12" s="20" t="str">
        <x:v>Moderate</x:v>
      </x:c>
      <x:c r="D12" s="20" t="n">
        <x:v>6</x:v>
      </x:c>
      <x:c r="E12" s="20" t="str">
        <x:v>PR.AA; PR.DS</x:v>
      </x:c>
      <x:c r="F12" s="20" t="str">
        <x:v>DE.CM; GV.RR</x:v>
      </x:c>
      <x:c r="G12" s="20" t="str">
        <x:v>Sensitive HR information depends on least privilege and auditable handling.</x:v>
      </x:c>
      <x:c r="H12" s="20" t="str">
        <x:v>Quarterly HR access review; export restriction; audit alerts.</x:v>
      </x:c>
      <x:c r="I12" s="119"/>
      <x:c r="J12" s="119"/>
      <x:c r="K12" s="119"/>
      <x:c r="L12" s="119"/>
      <x:c r="M12" s="119"/>
      <x:c r="N12" s="119"/>
      <x:c r="O12" s="119"/>
      <x:c r="P12" s="119"/>
    </x:row>
    <x:row r="13">
      <x:c r="A13" s="20" t="str">
        <x:v>R-12</x:v>
      </x:c>
      <x:c r="B13" s="20" t="str">
        <x:v>Accounting System Integrity Compromise</x:v>
      </x:c>
      <x:c r="C13" s="20" t="str">
        <x:v>Moderate</x:v>
      </x:c>
      <x:c r="D13" s="20" t="n">
        <x:v>8</x:v>
      </x:c>
      <x:c r="E13" s="20" t="str">
        <x:v>PR.AA; GV.RR</x:v>
      </x:c>
      <x:c r="F13" s="20" t="str">
        <x:v>DE.CM; PR.DS</x:v>
      </x:c>
      <x:c r="G13" s="20" t="str">
        <x:v>Role segregation and integrity monitoring protect financial records.</x:v>
      </x:c>
      <x:c r="H13" s="20" t="str">
        <x:v>Segregation of duties; vendor/bank master-change alerts; role review.</x:v>
      </x:c>
      <x:c r="I13" s="119"/>
      <x:c r="J13" s="119"/>
      <x:c r="K13" s="119"/>
      <x:c r="L13" s="119"/>
      <x:c r="M13" s="119"/>
      <x:c r="N13" s="119"/>
      <x:c r="O13" s="119"/>
      <x:c r="P13" s="119"/>
    </x:row>
    <x:row r="14">
      <x:c r="A14" s="20" t="str">
        <x:v>R-13</x:v>
      </x:c>
      <x:c r="B14" s="20" t="str">
        <x:v>Firewall / VPN Exploitation</x:v>
      </x:c>
      <x:c r="C14" s="20" t="str">
        <x:v>Moderate</x:v>
      </x:c>
      <x:c r="D14" s="20" t="n">
        <x:v>8</x:v>
      </x:c>
      <x:c r="E14" s="20" t="str">
        <x:v>PR.PS; PR.AA</x:v>
      </x:c>
      <x:c r="F14" s="20" t="str">
        <x:v>DE.CM; ID.RA</x:v>
      </x:c>
      <x:c r="G14" s="20" t="str">
        <x:v>Perimeter/remote access needs secure lifecycle management and strong authentication.</x:v>
      </x:c>
      <x:c r="H14" s="20" t="str">
        <x:v>Firmware baseline; universal VPN/admin MFA; rule recertification; centralized logs.</x:v>
      </x:c>
      <x:c r="I14" s="119"/>
      <x:c r="J14" s="119"/>
      <x:c r="K14" s="119"/>
      <x:c r="L14" s="119"/>
      <x:c r="M14" s="119"/>
      <x:c r="N14" s="119"/>
      <x:c r="O14" s="119"/>
      <x:c r="P14" s="119"/>
    </x:row>
    <x:row r="15">
      <x:c r="A15" s="20" t="str">
        <x:v>R-14</x:v>
      </x:c>
      <x:c r="B15" s="20" t="str">
        <x:v>RMM / Managed IT Supply-Chain Compromise</x:v>
      </x:c>
      <x:c r="C15" s="20" t="str">
        <x:v>Moderate</x:v>
      </x:c>
      <x:c r="D15" s="20" t="n">
        <x:v>8</x:v>
      </x:c>
      <x:c r="E15" s="20" t="str">
        <x:v>GV.SC; PR.AA</x:v>
      </x:c>
      <x:c r="F15" s="20" t="str">
        <x:v>DE.CM; RS.MI</x:v>
      </x:c>
      <x:c r="G15" s="20" t="str">
        <x:v>Third-party privileged access must be governed, restricted and monitored.</x:v>
      </x:c>
      <x:c r="H15" s="20" t="str">
        <x:v>Vendor MFA; named accounts; RMM role limits; supplier assurance; emergency isolation.</x:v>
      </x:c>
      <x:c r="I15" s="119"/>
      <x:c r="J15" s="119"/>
      <x:c r="K15" s="119"/>
      <x:c r="L15" s="119"/>
      <x:c r="M15" s="119"/>
      <x:c r="N15" s="119"/>
      <x:c r="O15" s="119"/>
      <x:c r="P15" s="119"/>
    </x:row>
    <x:row r="16">
      <x:c r="A16" s="20" t="str">
        <x:v>R-15</x:v>
      </x:c>
      <x:c r="B16" s="20" t="str">
        <x:v>Critical SaaS Vendor Breach</x:v>
      </x:c>
      <x:c r="C16" s="20" t="str">
        <x:v>High</x:v>
      </x:c>
      <x:c r="D16" s="20" t="n">
        <x:v>12</x:v>
      </x:c>
      <x:c r="E16" s="20" t="str">
        <x:v>GV.SC</x:v>
      </x:c>
      <x:c r="F16" s="20" t="str">
        <x:v>PR.IR; RS.CO; RC.RP</x:v>
      </x:c>
      <x:c r="G16" s="20" t="str">
        <x:v>Supplier assurance, resilience, breach coordination and exit planning reduce provider concentration risk.</x:v>
      </x:c>
      <x:c r="H16" s="20" t="str">
        <x:v>Annual critical-vendor assurance; breach/BCP clauses; recovery/exit plans.</x:v>
      </x:c>
      <x:c r="I16" s="119"/>
      <x:c r="J16" s="119"/>
      <x:c r="K16" s="119"/>
      <x:c r="L16" s="119"/>
      <x:c r="M16" s="119"/>
      <x:c r="N16" s="119"/>
      <x:c r="O16" s="119"/>
      <x:c r="P16" s="119"/>
    </x:row>
    <x:row r="17">
      <x:c r="A17" s="20" t="str">
        <x:v>R-16</x:v>
      </x:c>
      <x:c r="B17" s="20" t="str">
        <x:v>Public Website / CMS Compromise</x:v>
      </x:c>
      <x:c r="C17" s="20" t="str">
        <x:v>Moderate</x:v>
      </x:c>
      <x:c r="D17" s="20" t="n">
        <x:v>6</x:v>
      </x:c>
      <x:c r="E17" s="20" t="str">
        <x:v>PR.PS</x:v>
      </x:c>
      <x:c r="F17" s="20" t="str">
        <x:v>ID.RA; DE.CM; RC.RP</x:v>
      </x:c>
      <x:c r="G17" s="20" t="str">
        <x:v>Secure platform lifecycle and monitoring reduce public web exploitation.</x:v>
      </x:c>
      <x:c r="H17" s="20" t="str">
        <x:v>Assigned patch ownership; MFA; vulnerability review; restoration testing.</x:v>
      </x:c>
      <x:c r="I17" s="119"/>
      <x:c r="J17" s="119"/>
      <x:c r="K17" s="119"/>
      <x:c r="L17" s="119"/>
      <x:c r="M17" s="119"/>
      <x:c r="N17" s="119"/>
      <x:c r="O17" s="119"/>
      <x:c r="P17" s="119"/>
    </x:row>
    <x:row r="18">
      <x:c r="A18" s="20" t="str">
        <x:v>R-17</x:v>
      </x:c>
      <x:c r="B18" s="20" t="str">
        <x:v>Domain Registrar / DNS Takeover</x:v>
      </x:c>
      <x:c r="C18" s="20" t="str">
        <x:v>Moderate</x:v>
      </x:c>
      <x:c r="D18" s="20" t="n">
        <x:v>5</x:v>
      </x:c>
      <x:c r="E18" s="20" t="str">
        <x:v>PR.AA; PR.PS</x:v>
      </x:c>
      <x:c r="F18" s="20" t="str">
        <x:v>DE.CM; RC.RP</x:v>
      </x:c>
      <x:c r="G18" s="20" t="str">
        <x:v>Registrar identity and change controls protect organization-wide routing trust.</x:v>
      </x:c>
      <x:c r="H18" s="20" t="str">
        <x:v>Phishing-resistant MFA; registry lock/change alerts; emergency recovery.</x:v>
      </x:c>
      <x:c r="I18" s="119"/>
      <x:c r="J18" s="119"/>
      <x:c r="K18" s="119"/>
      <x:c r="L18" s="119"/>
      <x:c r="M18" s="119"/>
      <x:c r="N18" s="119"/>
      <x:c r="O18" s="119"/>
      <x:c r="P18" s="119"/>
    </x:row>
    <x:row r="19">
      <x:c r="A19" s="20" t="str">
        <x:v>R-18</x:v>
      </x:c>
      <x:c r="B19" s="20" t="str">
        <x:v>Security Monitoring Blind Spots</x:v>
      </x:c>
      <x:c r="C19" s="20" t="str">
        <x:v>Moderate</x:v>
      </x:c>
      <x:c r="D19" s="20" t="n">
        <x:v>9</x:v>
      </x:c>
      <x:c r="E19" s="20" t="str">
        <x:v>DE.CM; DE.AE</x:v>
      </x:c>
      <x:c r="F19" s="20" t="str">
        <x:v>GV.OV; RS.AN</x:v>
      </x:c>
      <x:c r="G19" s="20" t="str">
        <x:v>Central telemetry and defined analysis processes are required to identify and scope incidents.</x:v>
      </x:c>
      <x:c r="H19" s="20" t="str">
        <x:v>Onboard priority logs; define detections, triage and escalation.</x:v>
      </x:c>
      <x:c r="I19" s="119"/>
      <x:c r="J19" s="119"/>
      <x:c r="K19" s="119"/>
      <x:c r="L19" s="119"/>
      <x:c r="M19" s="119"/>
      <x:c r="N19" s="119"/>
      <x:c r="O19" s="119"/>
      <x:c r="P19" s="119"/>
    </x:row>
    <x:row r="20">
      <x:c r="A20" s="20" t="str">
        <x:v>R-19</x:v>
      </x:c>
      <x:c r="B20" s="20" t="str">
        <x:v>Insider Data Exfiltration</x:v>
      </x:c>
      <x:c r="C20" s="20" t="str">
        <x:v>Moderate</x:v>
      </x:c>
      <x:c r="D20" s="20" t="n">
        <x:v>8</x:v>
      </x:c>
      <x:c r="E20" s="20" t="str">
        <x:v>PR.DS; PR.AA</x:v>
      </x:c>
      <x:c r="F20" s="20" t="str">
        <x:v>DE.CM; GV.RR</x:v>
      </x:c>
      <x:c r="G20" s="20" t="str">
        <x:v>Least privilege, data controls and behavioral monitoring reduce insider loss.</x:v>
      </x:c>
      <x:c r="H20" s="20" t="str">
        <x:v>Joiner/mover/leaver control; DLP; bulk-download alerts; rapid offboarding.</x:v>
      </x:c>
      <x:c r="I20" s="119"/>
      <x:c r="J20" s="119"/>
      <x:c r="K20" s="119"/>
      <x:c r="L20" s="119"/>
      <x:c r="M20" s="119"/>
      <x:c r="N20" s="119"/>
      <x:c r="O20" s="119"/>
      <x:c r="P20" s="119"/>
    </x:row>
    <x:row r="21">
      <x:c r="A21" s="20" t="str">
        <x:v>R-20</x:v>
      </x:c>
      <x:c r="B21" s="20" t="str">
        <x:v>Privileged Configuration Error</x:v>
      </x:c>
      <x:c r="C21" s="20" t="str">
        <x:v>Moderate</x:v>
      </x:c>
      <x:c r="D21" s="20" t="n">
        <x:v>6</x:v>
      </x:c>
      <x:c r="E21" s="20" t="str">
        <x:v>GV.RR; PR.PS</x:v>
      </x:c>
      <x:c r="F21" s="20" t="str">
        <x:v>GV.PO; DE.CM</x:v>
      </x:c>
      <x:c r="G21" s="20" t="str">
        <x:v>Clear authority, change control and configuration management reduce privileged errors.</x:v>
      </x:c>
      <x:c r="H21" s="20" t="str">
        <x:v>Critical-change approval; peer review; versioning; admin activity review.</x:v>
      </x:c>
      <x:c r="I21" s="119"/>
      <x:c r="J21" s="119"/>
      <x:c r="K21" s="119"/>
      <x:c r="L21" s="119"/>
      <x:c r="M21" s="119"/>
      <x:c r="N21" s="119"/>
      <x:c r="O21" s="119"/>
      <x:c r="P21" s="119"/>
    </x:row>
    <x:row r="22">
      <x:c r="A22" s="20" t="str">
        <x:v>R-21</x:v>
      </x:c>
      <x:c r="B22" s="20" t="str">
        <x:v>Virtualization Host Single Point of Failure</x:v>
      </x:c>
      <x:c r="C22" s="20" t="str">
        <x:v>Moderate</x:v>
      </x:c>
      <x:c r="D22" s="20" t="n">
        <x:v>6</x:v>
      </x:c>
      <x:c r="E22" s="20" t="str">
        <x:v>PR.IR; RC.RP</x:v>
      </x:c>
      <x:c r="F22" s="20" t="str">
        <x:v>ID.AM; ID.IM</x:v>
      </x:c>
      <x:c r="G22" s="20" t="str">
        <x:v>Critical service dependencies require resilience and tested recovery.</x:v>
      </x:c>
      <x:c r="H22" s="20" t="str">
        <x:v>Migration/redundancy plan; tested rebuild procedure; current configuration backups.</x:v>
      </x:c>
      <x:c r="I22" s="119"/>
      <x:c r="J22" s="119"/>
      <x:c r="K22" s="119"/>
      <x:c r="L22" s="119"/>
      <x:c r="M22" s="119"/>
      <x:c r="N22" s="119"/>
      <x:c r="O22" s="119"/>
      <x:c r="P22" s="119"/>
    </x:row>
    <x:row r="23">
      <x:c r="A23" s="20" t="str">
        <x:v>R-22</x:v>
      </x:c>
      <x:c r="B23" s="20" t="str">
        <x:v>Primary Internet Connectivity Outage</x:v>
      </x:c>
      <x:c r="C23" s="20" t="str">
        <x:v>Moderate</x:v>
      </x:c>
      <x:c r="D23" s="20" t="n">
        <x:v>6</x:v>
      </x:c>
      <x:c r="E23" s="20" t="str">
        <x:v>PR.IR; GV.SC</x:v>
      </x:c>
      <x:c r="F23" s="20" t="str">
        <x:v>RC.RP; RC.CO</x:v>
      </x:c>
      <x:c r="G23" s="20" t="str">
        <x:v>External connectivity dependency requires supplier resilience and recovery communication.</x:v>
      </x:c>
      <x:c r="H23" s="20" t="str">
        <x:v>Secondary diverse-path circuit/failover; quarterly testing; continuity communication.</x:v>
      </x:c>
      <x:c r="I23" s="119"/>
      <x:c r="J23" s="119"/>
      <x:c r="K23" s="119"/>
      <x:c r="L23" s="119"/>
      <x:c r="M23" s="119"/>
      <x:c r="N23" s="119"/>
      <x:c r="O23" s="119"/>
      <x:c r="P23" s="119"/>
    </x:row>
    <x:row r="24">
      <x:c r="A24" s="119"/>
      <x:c r="B24" s="119"/>
      <x:c r="C24" s="119"/>
      <x:c r="D24" s="119"/>
      <x:c r="E24" s="119"/>
      <x:c r="F24" s="119"/>
      <x:c r="G24" s="119"/>
      <x:c r="H24" s="119"/>
      <x:c r="I24" s="119"/>
      <x:c r="J24" s="119"/>
      <x:c r="K24" s="119"/>
      <x:c r="L24" s="119"/>
      <x:c r="M24" s="119"/>
      <x:c r="N24" s="119"/>
      <x:c r="O24" s="119"/>
      <x:c r="P24" s="119"/>
    </x:row>
    <x:row r="25">
      <x:c r="A25" s="119"/>
      <x:c r="B25" s="119"/>
      <x:c r="C25" s="119"/>
      <x:c r="D25" s="119"/>
      <x:c r="E25" s="119"/>
      <x:c r="F25" s="119"/>
      <x:c r="G25" s="119"/>
      <x:c r="H25" s="119"/>
      <x:c r="I25" s="119"/>
      <x:c r="J25" s="119"/>
      <x:c r="K25" s="119"/>
      <x:c r="L25" s="119"/>
      <x:c r="M25" s="119"/>
      <x:c r="N25" s="119"/>
      <x:c r="O25" s="119"/>
      <x:c r="P25" s="119"/>
    </x:row>
    <x:row r="26">
      <x:c r="A26" s="119"/>
      <x:c r="B26" s="119"/>
      <x:c r="C26" s="119"/>
      <x:c r="D26" s="119"/>
      <x:c r="E26" s="119"/>
      <x:c r="F26" s="119"/>
      <x:c r="G26" s="119"/>
      <x:c r="H26" s="119"/>
      <x:c r="I26" s="119"/>
      <x:c r="J26" s="119"/>
      <x:c r="K26" s="119"/>
      <x:c r="L26" s="119"/>
      <x:c r="M26" s="119"/>
      <x:c r="N26" s="119"/>
      <x:c r="O26" s="119"/>
      <x:c r="P26" s="119"/>
    </x:row>
    <x:row r="27">
      <x:c r="A27" s="119"/>
      <x:c r="B27" s="119"/>
      <x:c r="C27" s="119"/>
      <x:c r="D27" s="119"/>
      <x:c r="E27" s="119"/>
      <x:c r="F27" s="119"/>
      <x:c r="G27" s="119"/>
      <x:c r="H27" s="119"/>
      <x:c r="I27" s="119"/>
      <x:c r="J27" s="119"/>
      <x:c r="K27" s="119"/>
      <x:c r="L27" s="119"/>
      <x:c r="M27" s="119"/>
      <x:c r="N27" s="119"/>
      <x:c r="O27" s="119"/>
      <x:c r="P27" s="119"/>
    </x:row>
    <x:row r="28">
      <x:c r="A28" s="119"/>
      <x:c r="B28" s="119"/>
      <x:c r="C28" s="119"/>
      <x:c r="D28" s="119"/>
      <x:c r="E28" s="119"/>
      <x:c r="F28" s="119"/>
      <x:c r="G28" s="119"/>
      <x:c r="H28" s="119"/>
      <x:c r="I28" s="119"/>
      <x:c r="J28" s="119"/>
      <x:c r="K28" s="119"/>
      <x:c r="L28" s="119"/>
      <x:c r="M28" s="119"/>
      <x:c r="N28" s="119"/>
      <x:c r="O28" s="119"/>
      <x:c r="P28" s="119"/>
    </x:row>
    <x:row r="29">
      <x:c r="A29" s="119"/>
      <x:c r="B29" s="119"/>
      <x:c r="C29" s="119"/>
      <x:c r="D29" s="119"/>
      <x:c r="E29" s="119"/>
      <x:c r="F29" s="119"/>
      <x:c r="G29" s="119"/>
      <x:c r="H29" s="119"/>
      <x:c r="I29" s="119"/>
      <x:c r="J29" s="119"/>
      <x:c r="K29" s="119"/>
      <x:c r="L29" s="119"/>
      <x:c r="M29" s="119"/>
      <x:c r="N29" s="119"/>
      <x:c r="O29" s="119"/>
      <x:c r="P29" s="119"/>
    </x:row>
    <x:row r="30">
      <x:c r="A30" s="119"/>
      <x:c r="B30" s="119"/>
      <x:c r="C30" s="119"/>
      <x:c r="D30" s="119"/>
      <x:c r="E30" s="119"/>
      <x:c r="F30" s="119"/>
      <x:c r="G30" s="119"/>
      <x:c r="H30" s="119"/>
      <x:c r="I30" s="119"/>
      <x:c r="J30" s="119"/>
      <x:c r="K30" s="119"/>
      <x:c r="L30" s="119"/>
      <x:c r="M30" s="119"/>
      <x:c r="N30" s="119"/>
      <x:c r="O30" s="119"/>
      <x:c r="P30" s="119"/>
    </x:row>
    <x:row r="31">
      <x:c r="A31" s="119"/>
      <x:c r="B31" s="119"/>
      <x:c r="C31" s="119"/>
      <x:c r="D31" s="119"/>
      <x:c r="E31" s="119"/>
      <x:c r="F31" s="119"/>
      <x:c r="G31" s="119"/>
      <x:c r="H31" s="119"/>
      <x:c r="I31" s="119"/>
      <x:c r="J31" s="119"/>
      <x:c r="K31" s="119"/>
      <x:c r="L31" s="119"/>
      <x:c r="M31" s="119"/>
      <x:c r="N31" s="119"/>
      <x:c r="O31" s="119"/>
      <x:c r="P31" s="119"/>
    </x:row>
    <x:row r="32">
      <x:c r="A32" s="119"/>
      <x:c r="B32" s="119"/>
      <x:c r="C32" s="119"/>
      <x:c r="D32" s="119"/>
      <x:c r="E32" s="119"/>
      <x:c r="F32" s="119"/>
      <x:c r="G32" s="119"/>
      <x:c r="H32" s="119"/>
      <x:c r="I32" s="119"/>
      <x:c r="J32" s="119"/>
      <x:c r="K32" s="119"/>
      <x:c r="L32" s="119"/>
      <x:c r="M32" s="119"/>
      <x:c r="N32" s="119"/>
      <x:c r="O32" s="119"/>
      <x:c r="P32" s="119"/>
    </x:row>
    <x:row r="33">
      <x:c r="A33" s="119"/>
      <x:c r="B33" s="119"/>
      <x:c r="C33" s="119"/>
      <x:c r="D33" s="119"/>
      <x:c r="E33" s="119"/>
      <x:c r="F33" s="119"/>
      <x:c r="G33" s="119"/>
      <x:c r="H33" s="119"/>
      <x:c r="I33" s="119"/>
      <x:c r="J33" s="119"/>
      <x:c r="K33" s="119"/>
      <x:c r="L33" s="119"/>
      <x:c r="M33" s="119"/>
      <x:c r="N33" s="119"/>
      <x:c r="O33" s="119"/>
      <x:c r="P33" s="119"/>
    </x:row>
    <x:row r="34">
      <x:c r="A34" s="119"/>
      <x:c r="B34" s="119"/>
      <x:c r="C34" s="119"/>
      <x:c r="D34" s="119"/>
      <x:c r="E34" s="119"/>
      <x:c r="F34" s="119"/>
      <x:c r="G34" s="119"/>
      <x:c r="H34" s="119"/>
      <x:c r="I34" s="119"/>
      <x:c r="J34" s="119"/>
      <x:c r="K34" s="119"/>
      <x:c r="L34" s="119"/>
      <x:c r="M34" s="119"/>
      <x:c r="N34" s="119"/>
      <x:c r="O34" s="119"/>
      <x:c r="P34" s="119"/>
    </x:row>
    <x:row r="35">
      <x:c r="A35" s="119"/>
      <x:c r="B35" s="119"/>
      <x:c r="C35" s="119"/>
      <x:c r="D35" s="119"/>
      <x:c r="E35" s="119"/>
      <x:c r="F35" s="119"/>
      <x:c r="G35" s="119"/>
      <x:c r="H35" s="119"/>
      <x:c r="I35" s="119"/>
      <x:c r="J35" s="119"/>
      <x:c r="K35" s="119"/>
      <x:c r="L35" s="119"/>
      <x:c r="M35" s="119"/>
      <x:c r="N35" s="119"/>
      <x:c r="O35" s="119"/>
      <x:c r="P35" s="119"/>
    </x:row>
    <x:row r="36">
      <x:c r="A36" s="119"/>
      <x:c r="B36" s="119"/>
      <x:c r="C36" s="119"/>
      <x:c r="D36" s="119"/>
      <x:c r="E36" s="119"/>
      <x:c r="F36" s="119"/>
      <x:c r="G36" s="119"/>
      <x:c r="H36" s="119"/>
      <x:c r="I36" s="119"/>
      <x:c r="J36" s="119"/>
      <x:c r="K36" s="119"/>
      <x:c r="L36" s="119"/>
      <x:c r="M36" s="119"/>
      <x:c r="N36" s="119"/>
      <x:c r="O36" s="119"/>
      <x:c r="P36" s="119"/>
    </x:row>
    <x:row r="37">
      <x:c r="A37" s="119"/>
      <x:c r="B37" s="119"/>
      <x:c r="C37" s="119"/>
      <x:c r="D37" s="119"/>
      <x:c r="E37" s="119"/>
      <x:c r="F37" s="119"/>
      <x:c r="G37" s="119"/>
      <x:c r="H37" s="119"/>
      <x:c r="I37" s="119"/>
      <x:c r="J37" s="119"/>
      <x:c r="K37" s="119"/>
      <x:c r="L37" s="119"/>
      <x:c r="M37" s="119"/>
      <x:c r="N37" s="119"/>
      <x:c r="O37" s="119"/>
      <x:c r="P37" s="119"/>
    </x:row>
    <x:row r="38">
      <x:c r="A38" s="119"/>
      <x:c r="B38" s="119"/>
      <x:c r="C38" s="119"/>
      <x:c r="D38" s="119"/>
      <x:c r="E38" s="119"/>
      <x:c r="F38" s="119"/>
      <x:c r="G38" s="119"/>
      <x:c r="H38" s="119"/>
      <x:c r="I38" s="119"/>
      <x:c r="J38" s="119"/>
      <x:c r="K38" s="119"/>
      <x:c r="L38" s="119"/>
      <x:c r="M38" s="119"/>
      <x:c r="N38" s="119"/>
      <x:c r="O38" s="119"/>
      <x:c r="P38" s="119"/>
    </x:row>
    <x:row r="39">
      <x:c r="A39" s="119"/>
      <x:c r="B39" s="119"/>
      <x:c r="C39" s="119"/>
      <x:c r="D39" s="119"/>
      <x:c r="E39" s="119"/>
      <x:c r="F39" s="119"/>
      <x:c r="G39" s="119"/>
      <x:c r="H39" s="119"/>
      <x:c r="I39" s="119"/>
      <x:c r="J39" s="119"/>
      <x:c r="K39" s="119"/>
      <x:c r="L39" s="119"/>
      <x:c r="M39" s="119"/>
      <x:c r="N39" s="119"/>
      <x:c r="O39" s="119"/>
      <x:c r="P39" s="119"/>
    </x:row>
    <x:row r="40">
      <x:c r="A40" s="119"/>
      <x:c r="B40" s="119"/>
      <x:c r="C40" s="119"/>
      <x:c r="D40" s="119"/>
      <x:c r="E40" s="119"/>
      <x:c r="F40" s="119"/>
      <x:c r="G40" s="119"/>
      <x:c r="H40" s="119"/>
      <x:c r="I40" s="119"/>
      <x:c r="J40" s="119"/>
      <x:c r="K40" s="119"/>
      <x:c r="L40" s="119"/>
      <x:c r="M40" s="119"/>
      <x:c r="N40" s="119"/>
      <x:c r="O40" s="119"/>
      <x:c r="P40" s="119"/>
    </x:row>
    <x:row r="41">
      <x:c r="A41" s="119"/>
      <x:c r="B41" s="119"/>
      <x:c r="C41" s="119"/>
      <x:c r="D41" s="119"/>
      <x:c r="E41" s="119"/>
      <x:c r="F41" s="119"/>
      <x:c r="G41" s="119"/>
      <x:c r="H41" s="119"/>
      <x:c r="I41" s="119"/>
      <x:c r="J41" s="119"/>
      <x:c r="K41" s="119"/>
      <x:c r="L41" s="119"/>
      <x:c r="M41" s="119"/>
      <x:c r="N41" s="119"/>
      <x:c r="O41" s="119"/>
      <x:c r="P41" s="119"/>
    </x:row>
    <x:row r="42">
      <x:c r="A42" s="119"/>
      <x:c r="B42" s="119"/>
      <x:c r="C42" s="119"/>
      <x:c r="D42" s="119"/>
      <x:c r="E42" s="119"/>
      <x:c r="F42" s="119"/>
      <x:c r="G42" s="119"/>
      <x:c r="H42" s="119"/>
      <x:c r="I42" s="119"/>
      <x:c r="J42" s="119"/>
      <x:c r="K42" s="119"/>
      <x:c r="L42" s="119"/>
      <x:c r="M42" s="119"/>
      <x:c r="N42" s="119"/>
      <x:c r="O42" s="119"/>
      <x:c r="P42" s="119"/>
    </x:row>
    <x:row r="43">
      <x:c r="A43" s="119"/>
      <x:c r="B43" s="119"/>
      <x:c r="C43" s="119"/>
      <x:c r="D43" s="119"/>
      <x:c r="E43" s="119"/>
      <x:c r="F43" s="119"/>
      <x:c r="G43" s="119"/>
      <x:c r="H43" s="119"/>
      <x:c r="I43" s="119"/>
      <x:c r="J43" s="119"/>
      <x:c r="K43" s="119"/>
      <x:c r="L43" s="119"/>
      <x:c r="M43" s="119"/>
      <x:c r="N43" s="119"/>
      <x:c r="O43" s="119"/>
      <x:c r="P43" s="119"/>
    </x:row>
    <x:row r="44">
      <x:c r="A44" s="119"/>
      <x:c r="B44" s="119"/>
      <x:c r="C44" s="119"/>
      <x:c r="D44" s="119"/>
      <x:c r="E44" s="119"/>
      <x:c r="F44" s="119"/>
      <x:c r="G44" s="119"/>
      <x:c r="H44" s="119"/>
      <x:c r="I44" s="119"/>
      <x:c r="J44" s="119"/>
      <x:c r="K44" s="119"/>
      <x:c r="L44" s="119"/>
      <x:c r="M44" s="119"/>
      <x:c r="N44" s="119"/>
      <x:c r="O44" s="119"/>
      <x:c r="P44" s="119"/>
    </x:row>
    <x:row r="45">
      <x:c r="A45" s="119"/>
      <x:c r="B45" s="119"/>
      <x:c r="C45" s="119"/>
      <x:c r="D45" s="119"/>
      <x:c r="E45" s="119"/>
      <x:c r="F45" s="119"/>
      <x:c r="G45" s="119"/>
      <x:c r="H45" s="119"/>
      <x:c r="I45" s="119"/>
      <x:c r="J45" s="119"/>
      <x:c r="K45" s="119"/>
      <x:c r="L45" s="119"/>
      <x:c r="M45" s="119"/>
      <x:c r="N45" s="119"/>
      <x:c r="O45" s="119"/>
      <x:c r="P45" s="119"/>
    </x:row>
    <x:row r="46">
      <x:c r="A46" s="119"/>
      <x:c r="B46" s="119"/>
      <x:c r="C46" s="119"/>
      <x:c r="D46" s="119"/>
      <x:c r="E46" s="119"/>
      <x:c r="F46" s="119"/>
      <x:c r="G46" s="119"/>
      <x:c r="H46" s="119"/>
      <x:c r="I46" s="119"/>
      <x:c r="J46" s="119"/>
      <x:c r="K46" s="119"/>
      <x:c r="L46" s="119"/>
      <x:c r="M46" s="119"/>
      <x:c r="N46" s="119"/>
      <x:c r="O46" s="119"/>
      <x:c r="P46" s="119"/>
    </x:row>
    <x:row r="47">
      <x:c r="A47" s="119"/>
      <x:c r="B47" s="119"/>
      <x:c r="C47" s="119"/>
      <x:c r="D47" s="119"/>
      <x:c r="E47" s="119"/>
      <x:c r="F47" s="119"/>
      <x:c r="G47" s="119"/>
      <x:c r="H47" s="119"/>
      <x:c r="I47" s="119"/>
      <x:c r="J47" s="119"/>
      <x:c r="K47" s="119"/>
      <x:c r="L47" s="119"/>
      <x:c r="M47" s="119"/>
      <x:c r="N47" s="119"/>
      <x:c r="O47" s="119"/>
      <x:c r="P47" s="119"/>
    </x:row>
    <x:row r="48">
      <x:c r="A48" s="119"/>
      <x:c r="B48" s="119"/>
      <x:c r="C48" s="119"/>
      <x:c r="D48" s="119"/>
      <x:c r="E48" s="119"/>
      <x:c r="F48" s="119"/>
      <x:c r="G48" s="119"/>
      <x:c r="H48" s="119"/>
      <x:c r="I48" s="119"/>
      <x:c r="J48" s="119"/>
      <x:c r="K48" s="119"/>
      <x:c r="L48" s="119"/>
      <x:c r="M48" s="119"/>
      <x:c r="N48" s="119"/>
      <x:c r="O48" s="119"/>
      <x:c r="P48" s="119"/>
    </x:row>
    <x:row r="49">
      <x:c r="A49" s="119"/>
      <x:c r="B49" s="119"/>
      <x:c r="C49" s="119"/>
      <x:c r="D49" s="119"/>
      <x:c r="E49" s="119"/>
      <x:c r="F49" s="119"/>
      <x:c r="G49" s="119"/>
      <x:c r="H49" s="119"/>
      <x:c r="I49" s="119"/>
      <x:c r="J49" s="119"/>
      <x:c r="K49" s="119"/>
      <x:c r="L49" s="119"/>
      <x:c r="M49" s="119"/>
      <x:c r="N49" s="119"/>
      <x:c r="O49" s="119"/>
      <x:c r="P49" s="119"/>
    </x:row>
    <x:row r="50">
      <x:c r="A50" s="119"/>
      <x:c r="B50" s="119"/>
      <x:c r="C50" s="119"/>
      <x:c r="D50" s="119"/>
      <x:c r="E50" s="119"/>
      <x:c r="F50" s="119"/>
      <x:c r="G50" s="119"/>
      <x:c r="H50" s="119"/>
      <x:c r="I50" s="119"/>
      <x:c r="J50" s="119"/>
      <x:c r="K50" s="119"/>
      <x:c r="L50" s="119"/>
      <x:c r="M50" s="119"/>
      <x:c r="N50" s="119"/>
      <x:c r="O50" s="119"/>
      <x:c r="P50" s="119"/>
    </x:row>
    <x:row r="51">
      <x:c r="A51" s="119"/>
      <x:c r="B51" s="119"/>
      <x:c r="C51" s="119"/>
      <x:c r="D51" s="119"/>
      <x:c r="E51" s="119"/>
      <x:c r="F51" s="119"/>
      <x:c r="G51" s="119"/>
      <x:c r="H51" s="119"/>
      <x:c r="I51" s="119"/>
      <x:c r="J51" s="119"/>
      <x:c r="K51" s="119"/>
      <x:c r="L51" s="119"/>
      <x:c r="M51" s="119"/>
      <x:c r="N51" s="119"/>
      <x:c r="O51" s="119"/>
      <x:c r="P51" s="119"/>
    </x:row>
    <x:row r="52">
      <x:c r="A52" s="119"/>
      <x:c r="B52" s="119"/>
      <x:c r="C52" s="119"/>
      <x:c r="D52" s="119"/>
      <x:c r="E52" s="119"/>
      <x:c r="F52" s="119"/>
      <x:c r="G52" s="119"/>
      <x:c r="H52" s="119"/>
      <x:c r="I52" s="119"/>
      <x:c r="J52" s="119"/>
      <x:c r="K52" s="119"/>
      <x:c r="L52" s="119"/>
      <x:c r="M52" s="119"/>
      <x:c r="N52" s="119"/>
      <x:c r="O52" s="119"/>
      <x:c r="P52" s="119"/>
    </x:row>
    <x:row r="53">
      <x:c r="A53" s="119"/>
      <x:c r="B53" s="119"/>
      <x:c r="C53" s="119"/>
      <x:c r="D53" s="119"/>
      <x:c r="E53" s="119"/>
      <x:c r="F53" s="119"/>
      <x:c r="G53" s="119"/>
      <x:c r="H53" s="119"/>
      <x:c r="I53" s="119"/>
      <x:c r="J53" s="119"/>
      <x:c r="K53" s="119"/>
      <x:c r="L53" s="119"/>
      <x:c r="M53" s="119"/>
      <x:c r="N53" s="119"/>
      <x:c r="O53" s="119"/>
      <x:c r="P53" s="119"/>
    </x:row>
    <x:row r="54">
      <x:c r="A54" s="119"/>
      <x:c r="B54" s="119"/>
      <x:c r="C54" s="119"/>
      <x:c r="D54" s="119"/>
      <x:c r="E54" s="119"/>
      <x:c r="F54" s="119"/>
      <x:c r="G54" s="119"/>
      <x:c r="H54" s="119"/>
      <x:c r="I54" s="119"/>
      <x:c r="J54" s="119"/>
      <x:c r="K54" s="119"/>
      <x:c r="L54" s="119"/>
      <x:c r="M54" s="119"/>
      <x:c r="N54" s="119"/>
      <x:c r="O54" s="119"/>
      <x:c r="P54" s="119"/>
    </x:row>
    <x:row r="55">
      <x:c r="A55" s="119"/>
      <x:c r="B55" s="119"/>
      <x:c r="C55" s="119"/>
      <x:c r="D55" s="119"/>
      <x:c r="E55" s="119"/>
      <x:c r="F55" s="119"/>
      <x:c r="G55" s="119"/>
      <x:c r="H55" s="119"/>
      <x:c r="I55" s="119"/>
      <x:c r="J55" s="119"/>
      <x:c r="K55" s="119"/>
      <x:c r="L55" s="119"/>
      <x:c r="M55" s="119"/>
      <x:c r="N55" s="119"/>
      <x:c r="O55" s="119"/>
      <x:c r="P55" s="119"/>
    </x:row>
    <x:row r="56">
      <x:c r="A56" s="119"/>
      <x:c r="B56" s="119"/>
      <x:c r="C56" s="119"/>
      <x:c r="D56" s="119"/>
      <x:c r="E56" s="119"/>
      <x:c r="F56" s="119"/>
      <x:c r="G56" s="119"/>
      <x:c r="H56" s="119"/>
      <x:c r="I56" s="119"/>
      <x:c r="J56" s="119"/>
      <x:c r="K56" s="119"/>
      <x:c r="L56" s="119"/>
      <x:c r="M56" s="119"/>
      <x:c r="N56" s="119"/>
      <x:c r="O56" s="119"/>
      <x:c r="P56" s="119"/>
    </x:row>
    <x:row r="57">
      <x:c r="A57" s="119"/>
      <x:c r="B57" s="119"/>
      <x:c r="C57" s="119"/>
      <x:c r="D57" s="119"/>
      <x:c r="E57" s="119"/>
      <x:c r="F57" s="119"/>
      <x:c r="G57" s="119"/>
      <x:c r="H57" s="119"/>
      <x:c r="I57" s="119"/>
      <x:c r="J57" s="119"/>
      <x:c r="K57" s="119"/>
      <x:c r="L57" s="119"/>
      <x:c r="M57" s="119"/>
      <x:c r="N57" s="119"/>
      <x:c r="O57" s="119"/>
      <x:c r="P57" s="119"/>
    </x:row>
    <x:row r="58">
      <x:c r="A58" s="119"/>
      <x:c r="B58" s="119"/>
      <x:c r="C58" s="119"/>
      <x:c r="D58" s="119"/>
      <x:c r="E58" s="119"/>
      <x:c r="F58" s="119"/>
      <x:c r="G58" s="119"/>
      <x:c r="H58" s="119"/>
      <x:c r="I58" s="119"/>
      <x:c r="J58" s="119"/>
      <x:c r="K58" s="119"/>
      <x:c r="L58" s="119"/>
      <x:c r="M58" s="119"/>
      <x:c r="N58" s="119"/>
      <x:c r="O58" s="119"/>
      <x:c r="P58" s="119"/>
    </x:row>
    <x:row r="59">
      <x:c r="A59" s="119"/>
      <x:c r="B59" s="119"/>
      <x:c r="C59" s="119"/>
      <x:c r="D59" s="119"/>
      <x:c r="E59" s="119"/>
      <x:c r="F59" s="119"/>
      <x:c r="G59" s="119"/>
      <x:c r="H59" s="119"/>
      <x:c r="I59" s="119"/>
      <x:c r="J59" s="119"/>
      <x:c r="K59" s="119"/>
      <x:c r="L59" s="119"/>
      <x:c r="M59" s="119"/>
      <x:c r="N59" s="119"/>
      <x:c r="O59" s="119"/>
      <x:c r="P59" s="119"/>
    </x:row>
    <x:row r="60">
      <x:c r="A60" s="119"/>
      <x:c r="B60" s="119"/>
      <x:c r="C60" s="119"/>
      <x:c r="D60" s="119"/>
      <x:c r="E60" s="119"/>
      <x:c r="F60" s="119"/>
      <x:c r="G60" s="119"/>
      <x:c r="H60" s="119"/>
      <x:c r="I60" s="119"/>
      <x:c r="J60" s="119"/>
      <x:c r="K60" s="119"/>
      <x:c r="L60" s="119"/>
      <x:c r="M60" s="119"/>
      <x:c r="N60" s="119"/>
      <x:c r="O60" s="119"/>
      <x:c r="P60" s="119"/>
    </x:row>
    <x:row r="61">
      <x:c r="A61" s="119"/>
      <x:c r="B61" s="119"/>
      <x:c r="C61" s="119"/>
      <x:c r="D61" s="119"/>
      <x:c r="E61" s="119"/>
      <x:c r="F61" s="119"/>
      <x:c r="G61" s="119"/>
      <x:c r="H61" s="119"/>
      <x:c r="I61" s="119"/>
      <x:c r="J61" s="119"/>
      <x:c r="K61" s="119"/>
      <x:c r="L61" s="119"/>
      <x:c r="M61" s="119"/>
      <x:c r="N61" s="119"/>
      <x:c r="O61" s="119"/>
      <x:c r="P61" s="119"/>
    </x:row>
    <x:row r="62">
      <x:c r="A62" s="119"/>
      <x:c r="B62" s="119"/>
      <x:c r="C62" s="119"/>
      <x:c r="D62" s="119"/>
      <x:c r="E62" s="119"/>
      <x:c r="F62" s="119"/>
      <x:c r="G62" s="119"/>
      <x:c r="H62" s="119"/>
      <x:c r="I62" s="119"/>
      <x:c r="J62" s="119"/>
      <x:c r="K62" s="119"/>
      <x:c r="L62" s="119"/>
      <x:c r="M62" s="119"/>
      <x:c r="N62" s="119"/>
      <x:c r="O62" s="119"/>
      <x:c r="P62" s="119"/>
    </x:row>
    <x:row r="63">
      <x:c r="A63" s="119"/>
      <x:c r="B63" s="119"/>
      <x:c r="C63" s="119"/>
      <x:c r="D63" s="119"/>
      <x:c r="E63" s="119"/>
      <x:c r="F63" s="119"/>
      <x:c r="G63" s="119"/>
      <x:c r="H63" s="119"/>
      <x:c r="I63" s="119"/>
      <x:c r="J63" s="119"/>
      <x:c r="K63" s="119"/>
      <x:c r="L63" s="119"/>
      <x:c r="M63" s="119"/>
      <x:c r="N63" s="119"/>
      <x:c r="O63" s="119"/>
      <x:c r="P63" s="119"/>
    </x:row>
    <x:row r="64">
      <x:c r="A64" s="119"/>
      <x:c r="B64" s="119"/>
      <x:c r="C64" s="119"/>
      <x:c r="D64" s="119"/>
      <x:c r="E64" s="119"/>
      <x:c r="F64" s="119"/>
      <x:c r="G64" s="119"/>
      <x:c r="H64" s="119"/>
      <x:c r="I64" s="119"/>
      <x:c r="J64" s="119"/>
      <x:c r="K64" s="119"/>
      <x:c r="L64" s="119"/>
      <x:c r="M64" s="119"/>
      <x:c r="N64" s="119"/>
      <x:c r="O64" s="119"/>
      <x:c r="P64" s="119"/>
    </x:row>
    <x:row r="65">
      <x:c r="A65" s="119"/>
      <x:c r="B65" s="119"/>
      <x:c r="C65" s="119"/>
      <x:c r="D65" s="119"/>
      <x:c r="E65" s="119"/>
      <x:c r="F65" s="119"/>
      <x:c r="G65" s="119"/>
      <x:c r="H65" s="119"/>
      <x:c r="I65" s="119"/>
      <x:c r="J65" s="119"/>
      <x:c r="K65" s="119"/>
      <x:c r="L65" s="119"/>
      <x:c r="M65" s="119"/>
      <x:c r="N65" s="119"/>
      <x:c r="O65" s="119"/>
      <x:c r="P65" s="119"/>
    </x:row>
    <x:row r="66">
      <x:c r="A66" s="119"/>
      <x:c r="B66" s="119"/>
      <x:c r="C66" s="119"/>
      <x:c r="D66" s="119"/>
      <x:c r="E66" s="119"/>
      <x:c r="F66" s="119"/>
      <x:c r="G66" s="119"/>
      <x:c r="H66" s="119"/>
      <x:c r="I66" s="119"/>
      <x:c r="J66" s="119"/>
      <x:c r="K66" s="119"/>
      <x:c r="L66" s="119"/>
      <x:c r="M66" s="119"/>
      <x:c r="N66" s="119"/>
      <x:c r="O66" s="119"/>
      <x:c r="P66" s="119"/>
    </x:row>
    <x:row r="67">
      <x:c r="A67" s="119"/>
      <x:c r="B67" s="119"/>
      <x:c r="C67" s="119"/>
      <x:c r="D67" s="119"/>
      <x:c r="E67" s="119"/>
      <x:c r="F67" s="119"/>
      <x:c r="G67" s="119"/>
      <x:c r="H67" s="119"/>
      <x:c r="I67" s="119"/>
      <x:c r="J67" s="119"/>
      <x:c r="K67" s="119"/>
      <x:c r="L67" s="119"/>
      <x:c r="M67" s="119"/>
      <x:c r="N67" s="119"/>
      <x:c r="O67" s="119"/>
      <x:c r="P67" s="119"/>
    </x:row>
    <x:row r="68">
      <x:c r="A68" s="119"/>
      <x:c r="B68" s="119"/>
      <x:c r="C68" s="119"/>
      <x:c r="D68" s="119"/>
      <x:c r="E68" s="119"/>
      <x:c r="F68" s="119"/>
      <x:c r="G68" s="119"/>
      <x:c r="H68" s="119"/>
      <x:c r="I68" s="119"/>
      <x:c r="J68" s="119"/>
      <x:c r="K68" s="119"/>
      <x:c r="L68" s="119"/>
      <x:c r="M68" s="119"/>
      <x:c r="N68" s="119"/>
      <x:c r="O68" s="119"/>
      <x:c r="P68" s="119"/>
    </x:row>
    <x:row r="69">
      <x:c r="A69" s="119"/>
      <x:c r="B69" s="119"/>
      <x:c r="C69" s="119"/>
      <x:c r="D69" s="119"/>
      <x:c r="E69" s="119"/>
      <x:c r="F69" s="119"/>
      <x:c r="G69" s="119"/>
      <x:c r="H69" s="119"/>
      <x:c r="I69" s="119"/>
      <x:c r="J69" s="119"/>
      <x:c r="K69" s="119"/>
      <x:c r="L69" s="119"/>
      <x:c r="M69" s="119"/>
      <x:c r="N69" s="119"/>
      <x:c r="O69" s="119"/>
      <x:c r="P69" s="119"/>
    </x:row>
    <x:row r="70">
      <x:c r="A70" s="119"/>
      <x:c r="B70" s="119"/>
      <x:c r="C70" s="119"/>
      <x:c r="D70" s="119"/>
      <x:c r="E70" s="119"/>
      <x:c r="F70" s="119"/>
      <x:c r="G70" s="119"/>
      <x:c r="H70" s="119"/>
      <x:c r="I70" s="119"/>
      <x:c r="J70" s="119"/>
      <x:c r="K70" s="119"/>
      <x:c r="L70" s="119"/>
      <x:c r="M70" s="119"/>
      <x:c r="N70" s="119"/>
      <x:c r="O70" s="119"/>
      <x:c r="P70" s="119"/>
    </x:row>
    <x:row r="71">
      <x:c r="A71" s="119"/>
      <x:c r="B71" s="119"/>
      <x:c r="C71" s="119"/>
      <x:c r="D71" s="119"/>
      <x:c r="E71" s="119"/>
      <x:c r="F71" s="119"/>
      <x:c r="G71" s="119"/>
      <x:c r="H71" s="119"/>
      <x:c r="I71" s="119"/>
      <x:c r="J71" s="119"/>
      <x:c r="K71" s="119"/>
      <x:c r="L71" s="119"/>
      <x:c r="M71" s="119"/>
      <x:c r="N71" s="119"/>
      <x:c r="O71" s="119"/>
      <x:c r="P71" s="119"/>
    </x:row>
    <x:row r="72">
      <x:c r="A72" s="119"/>
      <x:c r="B72" s="119"/>
      <x:c r="C72" s="119"/>
      <x:c r="D72" s="119"/>
      <x:c r="E72" s="119"/>
      <x:c r="F72" s="119"/>
      <x:c r="G72" s="119"/>
      <x:c r="H72" s="119"/>
      <x:c r="I72" s="119"/>
      <x:c r="J72" s="119"/>
      <x:c r="K72" s="119"/>
      <x:c r="L72" s="119"/>
      <x:c r="M72" s="119"/>
      <x:c r="N72" s="119"/>
      <x:c r="O72" s="119"/>
      <x:c r="P72" s="119"/>
    </x:row>
    <x:row r="73">
      <x:c r="A73" s="119"/>
      <x:c r="B73" s="119"/>
      <x:c r="C73" s="119"/>
      <x:c r="D73" s="119"/>
      <x:c r="E73" s="119"/>
      <x:c r="F73" s="119"/>
      <x:c r="G73" s="119"/>
      <x:c r="H73" s="119"/>
      <x:c r="I73" s="119"/>
      <x:c r="J73" s="119"/>
      <x:c r="K73" s="119"/>
      <x:c r="L73" s="119"/>
      <x:c r="M73" s="119"/>
      <x:c r="N73" s="119"/>
      <x:c r="O73" s="119"/>
      <x:c r="P73" s="119"/>
    </x:row>
    <x:row r="74">
      <x:c r="A74" s="119"/>
      <x:c r="B74" s="119"/>
      <x:c r="C74" s="119"/>
      <x:c r="D74" s="119"/>
      <x:c r="E74" s="119"/>
      <x:c r="F74" s="119"/>
      <x:c r="G74" s="119"/>
      <x:c r="H74" s="119"/>
      <x:c r="I74" s="119"/>
      <x:c r="J74" s="119"/>
      <x:c r="K74" s="119"/>
      <x:c r="L74" s="119"/>
      <x:c r="M74" s="119"/>
      <x:c r="N74" s="119"/>
      <x:c r="O74" s="119"/>
      <x:c r="P74" s="119"/>
    </x:row>
    <x:row r="75">
      <x:c r="A75" s="119"/>
      <x:c r="B75" s="119"/>
      <x:c r="C75" s="119"/>
      <x:c r="D75" s="119"/>
      <x:c r="E75" s="119"/>
      <x:c r="F75" s="119"/>
      <x:c r="G75" s="119"/>
      <x:c r="H75" s="119"/>
      <x:c r="I75" s="119"/>
      <x:c r="J75" s="119"/>
      <x:c r="K75" s="119"/>
      <x:c r="L75" s="119"/>
      <x:c r="M75" s="119"/>
      <x:c r="N75" s="119"/>
      <x:c r="O75" s="119"/>
      <x:c r="P75" s="119"/>
    </x:row>
    <x:row r="76">
      <x:c r="A76" s="119"/>
      <x:c r="B76" s="119"/>
      <x:c r="C76" s="119"/>
      <x:c r="D76" s="119"/>
      <x:c r="E76" s="119"/>
      <x:c r="F76" s="119"/>
      <x:c r="G76" s="119"/>
      <x:c r="H76" s="119"/>
      <x:c r="I76" s="119"/>
      <x:c r="J76" s="119"/>
      <x:c r="K76" s="119"/>
      <x:c r="L76" s="119"/>
      <x:c r="M76" s="119"/>
      <x:c r="N76" s="119"/>
      <x:c r="O76" s="119"/>
      <x:c r="P76" s="119"/>
    </x:row>
    <x:row r="77">
      <x:c r="A77" s="119"/>
      <x:c r="B77" s="119"/>
      <x:c r="C77" s="119"/>
      <x:c r="D77" s="119"/>
      <x:c r="E77" s="119"/>
      <x:c r="F77" s="119"/>
      <x:c r="G77" s="119"/>
      <x:c r="H77" s="119"/>
      <x:c r="I77" s="119"/>
      <x:c r="J77" s="119"/>
      <x:c r="K77" s="119"/>
      <x:c r="L77" s="119"/>
      <x:c r="M77" s="119"/>
      <x:c r="N77" s="119"/>
      <x:c r="O77" s="119"/>
      <x:c r="P77" s="119"/>
    </x:row>
    <x:row r="78">
      <x:c r="A78" s="119"/>
      <x:c r="B78" s="119"/>
      <x:c r="C78" s="119"/>
      <x:c r="D78" s="119"/>
      <x:c r="E78" s="119"/>
      <x:c r="F78" s="119"/>
      <x:c r="G78" s="119"/>
      <x:c r="H78" s="119"/>
      <x:c r="I78" s="119"/>
      <x:c r="J78" s="119"/>
      <x:c r="K78" s="119"/>
      <x:c r="L78" s="119"/>
      <x:c r="M78" s="119"/>
      <x:c r="N78" s="119"/>
      <x:c r="O78" s="119"/>
      <x:c r="P78" s="119"/>
    </x:row>
    <x:row r="79">
      <x:c r="A79" s="119"/>
      <x:c r="B79" s="119"/>
      <x:c r="C79" s="119"/>
      <x:c r="D79" s="119"/>
      <x:c r="E79" s="119"/>
      <x:c r="F79" s="119"/>
      <x:c r="G79" s="119"/>
      <x:c r="H79" s="119"/>
      <x:c r="I79" s="119"/>
      <x:c r="J79" s="119"/>
      <x:c r="K79" s="119"/>
      <x:c r="L79" s="119"/>
      <x:c r="M79" s="119"/>
      <x:c r="N79" s="119"/>
      <x:c r="O79" s="119"/>
      <x:c r="P79" s="119"/>
    </x:row>
    <x:row r="80">
      <x:c r="A80" s="119"/>
      <x:c r="B80" s="119"/>
      <x:c r="C80" s="119"/>
      <x:c r="D80" s="119"/>
      <x:c r="E80" s="119"/>
      <x:c r="F80" s="119"/>
      <x:c r="G80" s="119"/>
      <x:c r="H80" s="119"/>
      <x:c r="I80" s="119"/>
      <x:c r="J80" s="119"/>
      <x:c r="K80" s="119"/>
      <x:c r="L80" s="119"/>
      <x:c r="M80" s="119"/>
      <x:c r="N80" s="119"/>
      <x:c r="O80" s="119"/>
      <x:c r="P80" s="119"/>
    </x:row>
    <x:row r="81">
      <x:c r="A81" s="119"/>
      <x:c r="B81" s="119"/>
      <x:c r="C81" s="119"/>
      <x:c r="D81" s="119"/>
      <x:c r="E81" s="119"/>
      <x:c r="F81" s="119"/>
      <x:c r="G81" s="119"/>
      <x:c r="H81" s="119"/>
      <x:c r="I81" s="119"/>
      <x:c r="J81" s="119"/>
      <x:c r="K81" s="119"/>
      <x:c r="L81" s="119"/>
      <x:c r="M81" s="119"/>
      <x:c r="N81" s="119"/>
      <x:c r="O81" s="119"/>
      <x:c r="P81" s="119"/>
    </x:row>
    <x:row r="82">
      <x:c r="A82" s="119"/>
      <x:c r="B82" s="119"/>
      <x:c r="C82" s="119"/>
      <x:c r="D82" s="119"/>
      <x:c r="E82" s="119"/>
      <x:c r="F82" s="119"/>
      <x:c r="G82" s="119"/>
      <x:c r="H82" s="119"/>
      <x:c r="I82" s="119"/>
      <x:c r="J82" s="119"/>
      <x:c r="K82" s="119"/>
      <x:c r="L82" s="119"/>
      <x:c r="M82" s="119"/>
      <x:c r="N82" s="119"/>
      <x:c r="O82" s="119"/>
      <x:c r="P82" s="119"/>
    </x:row>
    <x:row r="83">
      <x:c r="A83" s="119"/>
      <x:c r="B83" s="119"/>
      <x:c r="C83" s="119"/>
      <x:c r="D83" s="119"/>
      <x:c r="E83" s="119"/>
      <x:c r="F83" s="119"/>
      <x:c r="G83" s="119"/>
      <x:c r="H83" s="119"/>
      <x:c r="I83" s="119"/>
      <x:c r="J83" s="119"/>
      <x:c r="K83" s="119"/>
      <x:c r="L83" s="119"/>
      <x:c r="M83" s="119"/>
      <x:c r="N83" s="119"/>
      <x:c r="O83" s="119"/>
      <x:c r="P83" s="119"/>
    </x:row>
    <x:row r="84">
      <x:c r="A84" s="119"/>
      <x:c r="B84" s="119"/>
      <x:c r="C84" s="119"/>
      <x:c r="D84" s="119"/>
      <x:c r="E84" s="119"/>
      <x:c r="F84" s="119"/>
      <x:c r="G84" s="119"/>
      <x:c r="H84" s="119"/>
      <x:c r="I84" s="119"/>
      <x:c r="J84" s="119"/>
      <x:c r="K84" s="119"/>
      <x:c r="L84" s="119"/>
      <x:c r="M84" s="119"/>
      <x:c r="N84" s="119"/>
      <x:c r="O84" s="119"/>
      <x:c r="P84" s="119"/>
    </x:row>
    <x:row r="85">
      <x:c r="A85" s="119"/>
      <x:c r="B85" s="119"/>
      <x:c r="C85" s="119"/>
      <x:c r="D85" s="119"/>
      <x:c r="E85" s="119"/>
      <x:c r="F85" s="119"/>
      <x:c r="G85" s="119"/>
      <x:c r="H85" s="119"/>
      <x:c r="I85" s="119"/>
      <x:c r="J85" s="119"/>
      <x:c r="K85" s="119"/>
      <x:c r="L85" s="119"/>
      <x:c r="M85" s="119"/>
      <x:c r="N85" s="119"/>
      <x:c r="O85" s="119"/>
      <x:c r="P85" s="119"/>
    </x:row>
    <x:row r="86">
      <x:c r="A86" s="119"/>
      <x:c r="B86" s="119"/>
      <x:c r="C86" s="119"/>
      <x:c r="D86" s="119"/>
      <x:c r="E86" s="119"/>
      <x:c r="F86" s="119"/>
      <x:c r="G86" s="119"/>
      <x:c r="H86" s="119"/>
      <x:c r="I86" s="119"/>
      <x:c r="J86" s="119"/>
      <x:c r="K86" s="119"/>
      <x:c r="L86" s="119"/>
      <x:c r="M86" s="119"/>
      <x:c r="N86" s="119"/>
      <x:c r="O86" s="119"/>
      <x:c r="P86" s="119"/>
    </x:row>
    <x:row r="87">
      <x:c r="A87" s="119"/>
      <x:c r="B87" s="119"/>
      <x:c r="C87" s="119"/>
      <x:c r="D87" s="119"/>
      <x:c r="E87" s="119"/>
      <x:c r="F87" s="119"/>
      <x:c r="G87" s="119"/>
      <x:c r="H87" s="119"/>
      <x:c r="I87" s="119"/>
      <x:c r="J87" s="119"/>
      <x:c r="K87" s="119"/>
      <x:c r="L87" s="119"/>
      <x:c r="M87" s="119"/>
      <x:c r="N87" s="119"/>
      <x:c r="O87" s="119"/>
      <x:c r="P87" s="119"/>
    </x:row>
    <x:row r="88">
      <x:c r="A88" s="119"/>
      <x:c r="B88" s="119"/>
      <x:c r="C88" s="119"/>
      <x:c r="D88" s="119"/>
      <x:c r="E88" s="119"/>
      <x:c r="F88" s="119"/>
      <x:c r="G88" s="119"/>
      <x:c r="H88" s="119"/>
      <x:c r="I88" s="119"/>
      <x:c r="J88" s="119"/>
      <x:c r="K88" s="119"/>
      <x:c r="L88" s="119"/>
      <x:c r="M88" s="119"/>
      <x:c r="N88" s="119"/>
      <x:c r="O88" s="119"/>
      <x:c r="P88" s="119"/>
    </x:row>
    <x:row r="89">
      <x:c r="A89" s="119"/>
      <x:c r="B89" s="119"/>
      <x:c r="C89" s="119"/>
      <x:c r="D89" s="119"/>
      <x:c r="E89" s="119"/>
      <x:c r="F89" s="119"/>
      <x:c r="G89" s="119"/>
      <x:c r="H89" s="119"/>
      <x:c r="I89" s="119"/>
      <x:c r="J89" s="119"/>
      <x:c r="K89" s="119"/>
      <x:c r="L89" s="119"/>
      <x:c r="M89" s="119"/>
      <x:c r="N89" s="119"/>
      <x:c r="O89" s="119"/>
      <x:c r="P89" s="119"/>
    </x:row>
    <x:row r="90">
      <x:c r="A90" s="119"/>
      <x:c r="B90" s="119"/>
      <x:c r="C90" s="119"/>
      <x:c r="D90" s="119"/>
      <x:c r="E90" s="119"/>
      <x:c r="F90" s="119"/>
      <x:c r="G90" s="119"/>
      <x:c r="H90" s="119"/>
      <x:c r="I90" s="119"/>
      <x:c r="J90" s="119"/>
      <x:c r="K90" s="119"/>
      <x:c r="L90" s="119"/>
      <x:c r="M90" s="119"/>
      <x:c r="N90" s="119"/>
      <x:c r="O90" s="119"/>
      <x:c r="P90" s="119"/>
    </x:row>
    <x:row r="91">
      <x:c r="A91" s="119"/>
      <x:c r="B91" s="119"/>
      <x:c r="C91" s="119"/>
      <x:c r="D91" s="119"/>
      <x:c r="E91" s="119"/>
      <x:c r="F91" s="119"/>
      <x:c r="G91" s="119"/>
      <x:c r="H91" s="119"/>
      <x:c r="I91" s="119"/>
      <x:c r="J91" s="119"/>
      <x:c r="K91" s="119"/>
      <x:c r="L91" s="119"/>
      <x:c r="M91" s="119"/>
      <x:c r="N91" s="119"/>
      <x:c r="O91" s="119"/>
      <x:c r="P91" s="119"/>
    </x:row>
    <x:row r="92">
      <x:c r="A92" s="119"/>
      <x:c r="B92" s="119"/>
      <x:c r="C92" s="119"/>
      <x:c r="D92" s="119"/>
      <x:c r="E92" s="119"/>
      <x:c r="F92" s="119"/>
      <x:c r="G92" s="119"/>
      <x:c r="H92" s="119"/>
      <x:c r="I92" s="119"/>
      <x:c r="J92" s="119"/>
      <x:c r="K92" s="119"/>
      <x:c r="L92" s="119"/>
      <x:c r="M92" s="119"/>
      <x:c r="N92" s="119"/>
      <x:c r="O92" s="119"/>
      <x:c r="P92" s="119"/>
    </x:row>
    <x:row r="93">
      <x:c r="A93" s="119"/>
      <x:c r="B93" s="119"/>
      <x:c r="C93" s="119"/>
      <x:c r="D93" s="119"/>
      <x:c r="E93" s="119"/>
      <x:c r="F93" s="119"/>
      <x:c r="G93" s="119"/>
      <x:c r="H93" s="119"/>
      <x:c r="I93" s="119"/>
      <x:c r="J93" s="119"/>
      <x:c r="K93" s="119"/>
      <x:c r="L93" s="119"/>
      <x:c r="M93" s="119"/>
      <x:c r="N93" s="119"/>
      <x:c r="O93" s="119"/>
      <x:c r="P93" s="119"/>
    </x:row>
    <x:row r="94">
      <x:c r="A94" s="119"/>
      <x:c r="B94" s="119"/>
      <x:c r="C94" s="119"/>
      <x:c r="D94" s="119"/>
      <x:c r="E94" s="119"/>
      <x:c r="F94" s="119"/>
      <x:c r="G94" s="119"/>
      <x:c r="H94" s="119"/>
      <x:c r="I94" s="119"/>
      <x:c r="J94" s="119"/>
      <x:c r="K94" s="119"/>
      <x:c r="L94" s="119"/>
      <x:c r="M94" s="119"/>
      <x:c r="N94" s="119"/>
      <x:c r="O94" s="119"/>
      <x:c r="P94" s="119"/>
    </x:row>
    <x:row r="95">
      <x:c r="A95" s="119"/>
      <x:c r="B95" s="119"/>
      <x:c r="C95" s="119"/>
      <x:c r="D95" s="119"/>
      <x:c r="E95" s="119"/>
      <x:c r="F95" s="119"/>
      <x:c r="G95" s="119"/>
      <x:c r="H95" s="119"/>
      <x:c r="I95" s="119"/>
      <x:c r="J95" s="119"/>
      <x:c r="K95" s="119"/>
      <x:c r="L95" s="119"/>
      <x:c r="M95" s="119"/>
      <x:c r="N95" s="119"/>
      <x:c r="O95" s="119"/>
      <x:c r="P95" s="119"/>
    </x:row>
    <x:row r="96">
      <x:c r="A96" s="119"/>
      <x:c r="B96" s="119"/>
      <x:c r="C96" s="119"/>
      <x:c r="D96" s="119"/>
      <x:c r="E96" s="119"/>
      <x:c r="F96" s="119"/>
      <x:c r="G96" s="119"/>
      <x:c r="H96" s="119"/>
      <x:c r="I96" s="119"/>
      <x:c r="J96" s="119"/>
      <x:c r="K96" s="119"/>
      <x:c r="L96" s="119"/>
      <x:c r="M96" s="119"/>
      <x:c r="N96" s="119"/>
      <x:c r="O96" s="119"/>
      <x:c r="P96" s="119"/>
    </x:row>
    <x:row r="97">
      <x:c r="A97" s="119"/>
      <x:c r="B97" s="119"/>
      <x:c r="C97" s="119"/>
      <x:c r="D97" s="119"/>
      <x:c r="E97" s="119"/>
      <x:c r="F97" s="119"/>
      <x:c r="G97" s="119"/>
      <x:c r="H97" s="119"/>
      <x:c r="I97" s="119"/>
      <x:c r="J97" s="119"/>
      <x:c r="K97" s="119"/>
      <x:c r="L97" s="119"/>
      <x:c r="M97" s="119"/>
      <x:c r="N97" s="119"/>
      <x:c r="O97" s="119"/>
      <x:c r="P97" s="119"/>
    </x:row>
    <x:row r="98">
      <x:c r="A98" s="119"/>
      <x:c r="B98" s="119"/>
      <x:c r="C98" s="119"/>
      <x:c r="D98" s="119"/>
      <x:c r="E98" s="119"/>
      <x:c r="F98" s="119"/>
      <x:c r="G98" s="119"/>
      <x:c r="H98" s="119"/>
      <x:c r="I98" s="119"/>
      <x:c r="J98" s="119"/>
      <x:c r="K98" s="119"/>
      <x:c r="L98" s="119"/>
      <x:c r="M98" s="119"/>
      <x:c r="N98" s="119"/>
      <x:c r="O98" s="119"/>
      <x:c r="P98" s="119"/>
    </x:row>
    <x:row r="99">
      <x:c r="A99" s="119"/>
      <x:c r="B99" s="119"/>
      <x:c r="C99" s="119"/>
      <x:c r="D99" s="119"/>
      <x:c r="E99" s="119"/>
      <x:c r="F99" s="119"/>
      <x:c r="G99" s="119"/>
      <x:c r="H99" s="119"/>
      <x:c r="I99" s="119"/>
      <x:c r="J99" s="119"/>
      <x:c r="K99" s="119"/>
      <x:c r="L99" s="119"/>
      <x:c r="M99" s="119"/>
      <x:c r="N99" s="119"/>
      <x:c r="O99" s="119"/>
      <x:c r="P99" s="119"/>
    </x:row>
    <x:row r="100">
      <x:c r="A100" s="119"/>
      <x:c r="B100" s="119"/>
      <x:c r="C100" s="119"/>
      <x:c r="D100" s="119"/>
      <x:c r="E100" s="119"/>
      <x:c r="F100" s="119"/>
      <x:c r="G100" s="119"/>
      <x:c r="H100" s="119"/>
      <x:c r="I100" s="119"/>
      <x:c r="J100" s="119"/>
      <x:c r="K100" s="119"/>
      <x:c r="L100" s="119"/>
      <x:c r="M100" s="119"/>
      <x:c r="N100" s="119"/>
      <x:c r="O100" s="119"/>
      <x:c r="P100" s="119"/>
    </x:row>
    <x:row r="101">
      <x:c r="A101" s="119"/>
      <x:c r="B101" s="119"/>
      <x:c r="C101" s="119"/>
      <x:c r="D101" s="119"/>
      <x:c r="E101" s="119"/>
      <x:c r="F101" s="119"/>
      <x:c r="G101" s="119"/>
      <x:c r="H101" s="119"/>
      <x:c r="I101" s="119"/>
      <x:c r="J101" s="119"/>
      <x:c r="K101" s="119"/>
      <x:c r="L101" s="119"/>
      <x:c r="M101" s="119"/>
      <x:c r="N101" s="119"/>
      <x:c r="O101" s="119"/>
      <x:c r="P101" s="119"/>
    </x:row>
    <x:row r="102">
      <x:c r="A102" s="119"/>
      <x:c r="B102" s="119"/>
      <x:c r="C102" s="119"/>
      <x:c r="D102" s="119"/>
      <x:c r="E102" s="119"/>
      <x:c r="F102" s="119"/>
      <x:c r="G102" s="119"/>
      <x:c r="H102" s="119"/>
      <x:c r="I102" s="119"/>
      <x:c r="J102" s="119"/>
      <x:c r="K102" s="119"/>
      <x:c r="L102" s="119"/>
      <x:c r="M102" s="119"/>
      <x:c r="N102" s="119"/>
      <x:c r="O102" s="119"/>
      <x:c r="P102" s="119"/>
    </x:row>
    <x:row r="103">
      <x:c r="A103" s="119"/>
      <x:c r="B103" s="119"/>
      <x:c r="C103" s="119"/>
      <x:c r="D103" s="119"/>
      <x:c r="E103" s="119"/>
      <x:c r="F103" s="119"/>
      <x:c r="G103" s="119"/>
      <x:c r="H103" s="119"/>
      <x:c r="I103" s="119"/>
      <x:c r="J103" s="119"/>
      <x:c r="K103" s="119"/>
      <x:c r="L103" s="119"/>
      <x:c r="M103" s="119"/>
      <x:c r="N103" s="119"/>
      <x:c r="O103" s="119"/>
      <x:c r="P103" s="119"/>
    </x:row>
    <x:row r="104">
      <x:c r="A104" s="119"/>
      <x:c r="B104" s="119"/>
      <x:c r="C104" s="119"/>
      <x:c r="D104" s="119"/>
      <x:c r="E104" s="119"/>
      <x:c r="F104" s="119"/>
      <x:c r="G104" s="119"/>
      <x:c r="H104" s="119"/>
      <x:c r="I104" s="119"/>
      <x:c r="J104" s="119"/>
      <x:c r="K104" s="119"/>
      <x:c r="L104" s="119"/>
      <x:c r="M104" s="119"/>
      <x:c r="N104" s="119"/>
      <x:c r="O104" s="119"/>
      <x:c r="P104" s="119"/>
    </x:row>
    <x:row r="105">
      <x:c r="A105" s="119"/>
      <x:c r="B105" s="119"/>
      <x:c r="C105" s="119"/>
      <x:c r="D105" s="119"/>
      <x:c r="E105" s="119"/>
      <x:c r="F105" s="119"/>
      <x:c r="G105" s="119"/>
      <x:c r="H105" s="119"/>
      <x:c r="I105" s="119"/>
      <x:c r="J105" s="119"/>
      <x:c r="K105" s="119"/>
      <x:c r="L105" s="119"/>
      <x:c r="M105" s="119"/>
      <x:c r="N105" s="119"/>
      <x:c r="O105" s="119"/>
      <x:c r="P105" s="119"/>
    </x:row>
    <x:row r="106">
      <x:c r="A106" s="119"/>
      <x:c r="B106" s="119"/>
      <x:c r="C106" s="119"/>
      <x:c r="D106" s="119"/>
      <x:c r="E106" s="119"/>
      <x:c r="F106" s="119"/>
      <x:c r="G106" s="119"/>
      <x:c r="H106" s="119"/>
      <x:c r="I106" s="119"/>
      <x:c r="J106" s="119"/>
      <x:c r="K106" s="119"/>
      <x:c r="L106" s="119"/>
      <x:c r="M106" s="119"/>
      <x:c r="N106" s="119"/>
      <x:c r="O106" s="119"/>
      <x:c r="P106" s="119"/>
    </x:row>
    <x:row r="107">
      <x:c r="A107" s="119"/>
      <x:c r="B107" s="119"/>
      <x:c r="C107" s="119"/>
      <x:c r="D107" s="119"/>
      <x:c r="E107" s="119"/>
      <x:c r="F107" s="119"/>
      <x:c r="G107" s="119"/>
      <x:c r="H107" s="119"/>
      <x:c r="I107" s="119"/>
      <x:c r="J107" s="119"/>
      <x:c r="K107" s="119"/>
      <x:c r="L107" s="119"/>
      <x:c r="M107" s="119"/>
      <x:c r="N107" s="119"/>
      <x:c r="O107" s="119"/>
      <x:c r="P107" s="119"/>
    </x:row>
    <x:row r="108">
      <x:c r="A108" s="119"/>
      <x:c r="B108" s="119"/>
      <x:c r="C108" s="119"/>
      <x:c r="D108" s="119"/>
      <x:c r="E108" s="119"/>
      <x:c r="F108" s="119"/>
      <x:c r="G108" s="119"/>
      <x:c r="H108" s="119"/>
      <x:c r="I108" s="119"/>
      <x:c r="J108" s="119"/>
      <x:c r="K108" s="119"/>
      <x:c r="L108" s="119"/>
      <x:c r="M108" s="119"/>
      <x:c r="N108" s="119"/>
      <x:c r="O108" s="119"/>
      <x:c r="P108" s="119"/>
    </x:row>
    <x:row r="109">
      <x:c r="A109" s="119"/>
      <x:c r="B109" s="119"/>
      <x:c r="C109" s="119"/>
      <x:c r="D109" s="119"/>
      <x:c r="E109" s="119"/>
      <x:c r="F109" s="119"/>
      <x:c r="G109" s="119"/>
      <x:c r="H109" s="119"/>
      <x:c r="I109" s="119"/>
      <x:c r="J109" s="119"/>
      <x:c r="K109" s="119"/>
      <x:c r="L109" s="119"/>
      <x:c r="M109" s="119"/>
      <x:c r="N109" s="119"/>
      <x:c r="O109" s="119"/>
      <x:c r="P109" s="119"/>
    </x:row>
    <x:row r="110">
      <x:c r="A110" s="119"/>
      <x:c r="B110" s="119"/>
      <x:c r="C110" s="119"/>
      <x:c r="D110" s="119"/>
      <x:c r="E110" s="119"/>
      <x:c r="F110" s="119"/>
      <x:c r="G110" s="119"/>
      <x:c r="H110" s="119"/>
      <x:c r="I110" s="119"/>
      <x:c r="J110" s="119"/>
      <x:c r="K110" s="119"/>
      <x:c r="L110" s="119"/>
      <x:c r="M110" s="119"/>
      <x:c r="N110" s="119"/>
      <x:c r="O110" s="119"/>
      <x:c r="P110" s="119"/>
    </x:row>
    <x:row r="111">
      <x:c r="A111" s="119"/>
      <x:c r="B111" s="119"/>
      <x:c r="C111" s="119"/>
      <x:c r="D111" s="119"/>
      <x:c r="E111" s="119"/>
      <x:c r="F111" s="119"/>
      <x:c r="G111" s="119"/>
      <x:c r="H111" s="119"/>
      <x:c r="I111" s="119"/>
      <x:c r="J111" s="119"/>
      <x:c r="K111" s="119"/>
      <x:c r="L111" s="119"/>
      <x:c r="M111" s="119"/>
      <x:c r="N111" s="119"/>
      <x:c r="O111" s="119"/>
      <x:c r="P111" s="119"/>
    </x:row>
    <x:row r="112">
      <x:c r="A112" s="119"/>
      <x:c r="B112" s="119"/>
      <x:c r="C112" s="119"/>
      <x:c r="D112" s="119"/>
      <x:c r="E112" s="119"/>
      <x:c r="F112" s="119"/>
      <x:c r="G112" s="119"/>
      <x:c r="H112" s="119"/>
      <x:c r="I112" s="119"/>
      <x:c r="J112" s="119"/>
      <x:c r="K112" s="119"/>
      <x:c r="L112" s="119"/>
      <x:c r="M112" s="119"/>
      <x:c r="N112" s="119"/>
      <x:c r="O112" s="119"/>
      <x:c r="P112" s="119"/>
    </x:row>
    <x:row r="113">
      <x:c r="A113" s="119"/>
      <x:c r="B113" s="119"/>
      <x:c r="C113" s="119"/>
      <x:c r="D113" s="119"/>
      <x:c r="E113" s="119"/>
      <x:c r="F113" s="119"/>
      <x:c r="G113" s="119"/>
      <x:c r="H113" s="119"/>
      <x:c r="I113" s="119"/>
      <x:c r="J113" s="119"/>
      <x:c r="K113" s="119"/>
      <x:c r="L113" s="119"/>
      <x:c r="M113" s="119"/>
      <x:c r="N113" s="119"/>
      <x:c r="O113" s="119"/>
      <x:c r="P113" s="119"/>
    </x:row>
    <x:row r="114">
      <x:c r="A114" s="119"/>
      <x:c r="B114" s="119"/>
      <x:c r="C114" s="119"/>
      <x:c r="D114" s="119"/>
      <x:c r="E114" s="119"/>
      <x:c r="F114" s="119"/>
      <x:c r="G114" s="119"/>
      <x:c r="H114" s="119"/>
      <x:c r="I114" s="119"/>
      <x:c r="J114" s="119"/>
      <x:c r="K114" s="119"/>
      <x:c r="L114" s="119"/>
      <x:c r="M114" s="119"/>
      <x:c r="N114" s="119"/>
      <x:c r="O114" s="119"/>
      <x:c r="P114" s="119"/>
    </x:row>
    <x:row r="115">
      <x:c r="A115" s="119"/>
      <x:c r="B115" s="119"/>
      <x:c r="C115" s="119"/>
      <x:c r="D115" s="119"/>
      <x:c r="E115" s="119"/>
      <x:c r="F115" s="119"/>
      <x:c r="G115" s="119"/>
      <x:c r="H115" s="119"/>
      <x:c r="I115" s="119"/>
      <x:c r="J115" s="119"/>
      <x:c r="K115" s="119"/>
      <x:c r="L115" s="119"/>
      <x:c r="M115" s="119"/>
      <x:c r="N115" s="119"/>
      <x:c r="O115" s="119"/>
      <x:c r="P115" s="119"/>
    </x:row>
    <x:row r="116">
      <x:c r="A116" s="119"/>
      <x:c r="B116" s="119"/>
      <x:c r="C116" s="119"/>
      <x:c r="D116" s="119"/>
      <x:c r="E116" s="119"/>
      <x:c r="F116" s="119"/>
      <x:c r="G116" s="119"/>
      <x:c r="H116" s="119"/>
      <x:c r="I116" s="119"/>
      <x:c r="J116" s="119"/>
      <x:c r="K116" s="119"/>
      <x:c r="L116" s="119"/>
      <x:c r="M116" s="119"/>
      <x:c r="N116" s="119"/>
      <x:c r="O116" s="119"/>
      <x:c r="P116" s="119"/>
    </x:row>
    <x:row r="117">
      <x:c r="A117" s="119"/>
      <x:c r="B117" s="119"/>
      <x:c r="C117" s="119"/>
      <x:c r="D117" s="119"/>
      <x:c r="E117" s="119"/>
      <x:c r="F117" s="119"/>
      <x:c r="G117" s="119"/>
      <x:c r="H117" s="119"/>
      <x:c r="I117" s="119"/>
      <x:c r="J117" s="119"/>
      <x:c r="K117" s="119"/>
      <x:c r="L117" s="119"/>
      <x:c r="M117" s="119"/>
      <x:c r="N117" s="119"/>
      <x:c r="O117" s="119"/>
      <x:c r="P117" s="119"/>
    </x:row>
    <x:row r="118">
      <x:c r="A118" s="119"/>
      <x:c r="B118" s="119"/>
      <x:c r="C118" s="119"/>
      <x:c r="D118" s="119"/>
      <x:c r="E118" s="119"/>
      <x:c r="F118" s="119"/>
      <x:c r="G118" s="119"/>
      <x:c r="H118" s="119"/>
      <x:c r="I118" s="119"/>
      <x:c r="J118" s="119"/>
      <x:c r="K118" s="119"/>
      <x:c r="L118" s="119"/>
      <x:c r="M118" s="119"/>
      <x:c r="N118" s="119"/>
      <x:c r="O118" s="119"/>
      <x:c r="P118" s="119"/>
    </x:row>
    <x:row r="119">
      <x:c r="A119" s="119"/>
      <x:c r="B119" s="119"/>
      <x:c r="C119" s="119"/>
      <x:c r="D119" s="119"/>
      <x:c r="E119" s="119"/>
      <x:c r="F119" s="119"/>
      <x:c r="G119" s="119"/>
      <x:c r="H119" s="119"/>
      <x:c r="I119" s="119"/>
      <x:c r="J119" s="119"/>
      <x:c r="K119" s="119"/>
      <x:c r="L119" s="119"/>
      <x:c r="M119" s="119"/>
      <x:c r="N119" s="119"/>
      <x:c r="O119" s="119"/>
      <x:c r="P119" s="119"/>
    </x:row>
    <x:row r="120">
      <x:c r="A120" s="119"/>
      <x:c r="B120" s="119"/>
      <x:c r="C120" s="119"/>
      <x:c r="D120" s="119"/>
      <x:c r="E120" s="119"/>
      <x:c r="F120" s="119"/>
      <x:c r="G120" s="119"/>
      <x:c r="H120" s="119"/>
      <x:c r="I120" s="119"/>
      <x:c r="J120" s="119"/>
      <x:c r="K120" s="119"/>
      <x:c r="L120" s="119"/>
      <x:c r="M120" s="119"/>
      <x:c r="N120" s="119"/>
      <x:c r="O120" s="119"/>
      <x:c r="P120" s="119"/>
    </x:row>
    <x:row r="121">
      <x:c r="A121" s="119"/>
      <x:c r="B121" s="119"/>
      <x:c r="C121" s="119"/>
      <x:c r="D121" s="119"/>
      <x:c r="E121" s="119"/>
      <x:c r="F121" s="119"/>
      <x:c r="G121" s="119"/>
      <x:c r="H121" s="119"/>
      <x:c r="I121" s="119"/>
      <x:c r="J121" s="119"/>
      <x:c r="K121" s="119"/>
      <x:c r="L121" s="119"/>
      <x:c r="M121" s="119"/>
      <x:c r="N121" s="119"/>
      <x:c r="O121" s="119"/>
      <x:c r="P121" s="119"/>
    </x:row>
    <x:row r="122">
      <x:c r="A122" s="119"/>
      <x:c r="B122" s="119"/>
      <x:c r="C122" s="119"/>
      <x:c r="D122" s="119"/>
      <x:c r="E122" s="119"/>
      <x:c r="F122" s="119"/>
      <x:c r="G122" s="119"/>
      <x:c r="H122" s="119"/>
      <x:c r="I122" s="119"/>
      <x:c r="J122" s="119"/>
      <x:c r="K122" s="119"/>
      <x:c r="L122" s="119"/>
      <x:c r="M122" s="119"/>
      <x:c r="N122" s="119"/>
      <x:c r="O122" s="119"/>
      <x:c r="P122" s="119"/>
    </x:row>
    <x:row r="123">
      <x:c r="A123" s="119"/>
      <x:c r="B123" s="119"/>
      <x:c r="C123" s="119"/>
      <x:c r="D123" s="119"/>
      <x:c r="E123" s="119"/>
      <x:c r="F123" s="119"/>
      <x:c r="G123" s="119"/>
      <x:c r="H123" s="119"/>
      <x:c r="I123" s="119"/>
      <x:c r="J123" s="119"/>
      <x:c r="K123" s="119"/>
      <x:c r="L123" s="119"/>
      <x:c r="M123" s="119"/>
      <x:c r="N123" s="119"/>
      <x:c r="O123" s="119"/>
      <x:c r="P123" s="119"/>
    </x:row>
    <x:row r="124">
      <x:c r="A124" s="119"/>
      <x:c r="B124" s="119"/>
      <x:c r="C124" s="119"/>
      <x:c r="D124" s="119"/>
      <x:c r="E124" s="119"/>
      <x:c r="F124" s="119"/>
      <x:c r="G124" s="119"/>
      <x:c r="H124" s="119"/>
      <x:c r="I124" s="119"/>
      <x:c r="J124" s="119"/>
      <x:c r="K124" s="119"/>
      <x:c r="L124" s="119"/>
      <x:c r="M124" s="119"/>
      <x:c r="N124" s="119"/>
      <x:c r="O124" s="119"/>
      <x:c r="P124" s="119"/>
    </x:row>
    <x:row r="125">
      <x:c r="A125" s="119"/>
      <x:c r="B125" s="119"/>
      <x:c r="C125" s="119"/>
      <x:c r="D125" s="119"/>
      <x:c r="E125" s="119"/>
      <x:c r="F125" s="119"/>
      <x:c r="G125" s="119"/>
      <x:c r="H125" s="119"/>
      <x:c r="I125" s="119"/>
      <x:c r="J125" s="119"/>
      <x:c r="K125" s="119"/>
      <x:c r="L125" s="119"/>
      <x:c r="M125" s="119"/>
      <x:c r="N125" s="119"/>
      <x:c r="O125" s="119"/>
      <x:c r="P125" s="119"/>
    </x:row>
    <x:row r="126">
      <x:c r="A126" s="119"/>
      <x:c r="B126" s="119"/>
      <x:c r="C126" s="119"/>
      <x:c r="D126" s="119"/>
      <x:c r="E126" s="119"/>
      <x:c r="F126" s="119"/>
      <x:c r="G126" s="119"/>
      <x:c r="H126" s="119"/>
      <x:c r="I126" s="119"/>
      <x:c r="J126" s="119"/>
      <x:c r="K126" s="119"/>
      <x:c r="L126" s="119"/>
      <x:c r="M126" s="119"/>
      <x:c r="N126" s="119"/>
      <x:c r="O126" s="119"/>
      <x:c r="P126" s="119"/>
    </x:row>
    <x:row r="127">
      <x:c r="A127" s="119"/>
      <x:c r="B127" s="119"/>
      <x:c r="C127" s="119"/>
      <x:c r="D127" s="119"/>
      <x:c r="E127" s="119"/>
      <x:c r="F127" s="119"/>
      <x:c r="G127" s="119"/>
      <x:c r="H127" s="119"/>
      <x:c r="I127" s="119"/>
      <x:c r="J127" s="119"/>
      <x:c r="K127" s="119"/>
      <x:c r="L127" s="119"/>
      <x:c r="M127" s="119"/>
      <x:c r="N127" s="119"/>
      <x:c r="O127" s="119"/>
      <x:c r="P127" s="119"/>
    </x:row>
    <x:row r="128">
      <x:c r="A128" s="119"/>
      <x:c r="B128" s="119"/>
      <x:c r="C128" s="119"/>
      <x:c r="D128" s="119"/>
      <x:c r="E128" s="119"/>
      <x:c r="F128" s="119"/>
      <x:c r="G128" s="119"/>
      <x:c r="H128" s="119"/>
      <x:c r="I128" s="119"/>
      <x:c r="J128" s="119"/>
      <x:c r="K128" s="119"/>
      <x:c r="L128" s="119"/>
      <x:c r="M128" s="119"/>
      <x:c r="N128" s="119"/>
      <x:c r="O128" s="119"/>
      <x:c r="P128" s="119"/>
    </x:row>
    <x:row r="129">
      <x:c r="A129" s="119"/>
      <x:c r="B129" s="119"/>
      <x:c r="C129" s="119"/>
      <x:c r="D129" s="119"/>
      <x:c r="E129" s="119"/>
      <x:c r="F129" s="119"/>
      <x:c r="G129" s="119"/>
      <x:c r="H129" s="119"/>
      <x:c r="I129" s="119"/>
      <x:c r="J129" s="119"/>
      <x:c r="K129" s="119"/>
      <x:c r="L129" s="119"/>
      <x:c r="M129" s="119"/>
      <x:c r="N129" s="119"/>
      <x:c r="O129" s="119"/>
      <x:c r="P129" s="119"/>
    </x:row>
    <x:row r="130">
      <x:c r="A130" s="119"/>
      <x:c r="B130" s="119"/>
      <x:c r="C130" s="119"/>
      <x:c r="D130" s="119"/>
      <x:c r="E130" s="119"/>
      <x:c r="F130" s="119"/>
      <x:c r="G130" s="119"/>
      <x:c r="H130" s="119"/>
      <x:c r="I130" s="119"/>
      <x:c r="J130" s="119"/>
      <x:c r="K130" s="119"/>
      <x:c r="L130" s="119"/>
      <x:c r="M130" s="119"/>
      <x:c r="N130" s="119"/>
      <x:c r="O130" s="119"/>
      <x:c r="P130" s="119"/>
    </x:row>
    <x:row r="131">
      <x:c r="A131" s="119"/>
      <x:c r="B131" s="119"/>
      <x:c r="C131" s="119"/>
      <x:c r="D131" s="119"/>
      <x:c r="E131" s="119"/>
      <x:c r="F131" s="119"/>
      <x:c r="G131" s="119"/>
      <x:c r="H131" s="119"/>
      <x:c r="I131" s="119"/>
      <x:c r="J131" s="119"/>
      <x:c r="K131" s="119"/>
      <x:c r="L131" s="119"/>
      <x:c r="M131" s="119"/>
      <x:c r="N131" s="119"/>
      <x:c r="O131" s="119"/>
      <x:c r="P131" s="119"/>
    </x:row>
    <x:row r="132">
      <x:c r="A132" s="119"/>
      <x:c r="B132" s="119"/>
      <x:c r="C132" s="119"/>
      <x:c r="D132" s="119"/>
      <x:c r="E132" s="119"/>
      <x:c r="F132" s="119"/>
      <x:c r="G132" s="119"/>
      <x:c r="H132" s="119"/>
      <x:c r="I132" s="119"/>
      <x:c r="J132" s="119"/>
      <x:c r="K132" s="119"/>
      <x:c r="L132" s="119"/>
      <x:c r="M132" s="119"/>
      <x:c r="N132" s="119"/>
      <x:c r="O132" s="119"/>
      <x:c r="P132" s="119"/>
    </x:row>
    <x:row r="133">
      <x:c r="A133" s="119"/>
      <x:c r="B133" s="119"/>
      <x:c r="C133" s="119"/>
      <x:c r="D133" s="119"/>
      <x:c r="E133" s="119"/>
      <x:c r="F133" s="119"/>
      <x:c r="G133" s="119"/>
      <x:c r="H133" s="119"/>
      <x:c r="I133" s="119"/>
      <x:c r="J133" s="119"/>
      <x:c r="K133" s="119"/>
      <x:c r="L133" s="119"/>
      <x:c r="M133" s="119"/>
      <x:c r="N133" s="119"/>
      <x:c r="O133" s="119"/>
      <x:c r="P133" s="119"/>
    </x:row>
    <x:row r="134">
      <x:c r="A134" s="119"/>
      <x:c r="B134" s="119"/>
      <x:c r="C134" s="119"/>
      <x:c r="D134" s="119"/>
      <x:c r="E134" s="119"/>
      <x:c r="F134" s="119"/>
      <x:c r="G134" s="119"/>
      <x:c r="H134" s="119"/>
      <x:c r="I134" s="119"/>
      <x:c r="J134" s="119"/>
      <x:c r="K134" s="119"/>
      <x:c r="L134" s="119"/>
      <x:c r="M134" s="119"/>
      <x:c r="N134" s="119"/>
      <x:c r="O134" s="119"/>
      <x:c r="P134" s="119"/>
    </x:row>
    <x:row r="135">
      <x:c r="A135" s="119"/>
      <x:c r="B135" s="119"/>
      <x:c r="C135" s="119"/>
      <x:c r="D135" s="119"/>
      <x:c r="E135" s="119"/>
      <x:c r="F135" s="119"/>
      <x:c r="G135" s="119"/>
      <x:c r="H135" s="119"/>
      <x:c r="I135" s="119"/>
      <x:c r="J135" s="119"/>
      <x:c r="K135" s="119"/>
      <x:c r="L135" s="119"/>
      <x:c r="M135" s="119"/>
      <x:c r="N135" s="119"/>
      <x:c r="O135" s="119"/>
      <x:c r="P135" s="119"/>
    </x:row>
    <x:row r="136">
      <x:c r="A136" s="119"/>
      <x:c r="B136" s="119"/>
      <x:c r="C136" s="119"/>
      <x:c r="D136" s="119"/>
      <x:c r="E136" s="119"/>
      <x:c r="F136" s="119"/>
      <x:c r="G136" s="119"/>
      <x:c r="H136" s="119"/>
      <x:c r="I136" s="119"/>
      <x:c r="J136" s="119"/>
      <x:c r="K136" s="119"/>
      <x:c r="L136" s="119"/>
      <x:c r="M136" s="119"/>
      <x:c r="N136" s="119"/>
      <x:c r="O136" s="119"/>
      <x:c r="P136" s="119"/>
    </x:row>
    <x:row r="137">
      <x:c r="A137" s="119"/>
      <x:c r="B137" s="119"/>
      <x:c r="C137" s="119"/>
      <x:c r="D137" s="119"/>
      <x:c r="E137" s="119"/>
      <x:c r="F137" s="119"/>
      <x:c r="G137" s="119"/>
      <x:c r="H137" s="119"/>
      <x:c r="I137" s="119"/>
      <x:c r="J137" s="119"/>
      <x:c r="K137" s="119"/>
      <x:c r="L137" s="119"/>
      <x:c r="M137" s="119"/>
      <x:c r="N137" s="119"/>
      <x:c r="O137" s="119"/>
      <x:c r="P137" s="119"/>
    </x:row>
    <x:row r="138">
      <x:c r="A138" s="119"/>
      <x:c r="B138" s="119"/>
      <x:c r="C138" s="119"/>
      <x:c r="D138" s="119"/>
      <x:c r="E138" s="119"/>
      <x:c r="F138" s="119"/>
      <x:c r="G138" s="119"/>
      <x:c r="H138" s="119"/>
      <x:c r="I138" s="119"/>
      <x:c r="J138" s="119"/>
      <x:c r="K138" s="119"/>
      <x:c r="L138" s="119"/>
      <x:c r="M138" s="119"/>
      <x:c r="N138" s="119"/>
      <x:c r="O138" s="119"/>
      <x:c r="P138" s="119"/>
    </x:row>
    <x:row r="139">
      <x:c r="A139" s="119"/>
      <x:c r="B139" s="119"/>
      <x:c r="C139" s="119"/>
      <x:c r="D139" s="119"/>
      <x:c r="E139" s="119"/>
      <x:c r="F139" s="119"/>
      <x:c r="G139" s="119"/>
      <x:c r="H139" s="119"/>
      <x:c r="I139" s="119"/>
      <x:c r="J139" s="119"/>
      <x:c r="K139" s="119"/>
      <x:c r="L139" s="119"/>
      <x:c r="M139" s="119"/>
      <x:c r="N139" s="119"/>
      <x:c r="O139" s="119"/>
      <x:c r="P139" s="119"/>
    </x:row>
    <x:row r="140">
      <x:c r="A140" s="119"/>
      <x:c r="B140" s="119"/>
      <x:c r="C140" s="119"/>
      <x:c r="D140" s="119"/>
      <x:c r="E140" s="119"/>
      <x:c r="F140" s="119"/>
      <x:c r="G140" s="119"/>
      <x:c r="H140" s="119"/>
      <x:c r="I140" s="119"/>
      <x:c r="J140" s="119"/>
      <x:c r="K140" s="119"/>
      <x:c r="L140" s="119"/>
      <x:c r="M140" s="119"/>
      <x:c r="N140" s="119"/>
      <x:c r="O140" s="119"/>
      <x:c r="P140" s="119"/>
    </x:row>
    <x:row r="141">
      <x:c r="A141" s="119"/>
      <x:c r="B141" s="119"/>
      <x:c r="C141" s="119"/>
      <x:c r="D141" s="119"/>
      <x:c r="E141" s="119"/>
      <x:c r="F141" s="119"/>
      <x:c r="G141" s="119"/>
      <x:c r="H141" s="119"/>
      <x:c r="I141" s="119"/>
      <x:c r="J141" s="119"/>
      <x:c r="K141" s="119"/>
      <x:c r="L141" s="119"/>
      <x:c r="M141" s="119"/>
      <x:c r="N141" s="119"/>
      <x:c r="O141" s="119"/>
      <x:c r="P141" s="119"/>
    </x:row>
    <x:row r="142">
      <x:c r="A142" s="119"/>
      <x:c r="B142" s="119"/>
      <x:c r="C142" s="119"/>
      <x:c r="D142" s="119"/>
      <x:c r="E142" s="119"/>
      <x:c r="F142" s="119"/>
      <x:c r="G142" s="119"/>
      <x:c r="H142" s="119"/>
      <x:c r="I142" s="119"/>
      <x:c r="J142" s="119"/>
      <x:c r="K142" s="119"/>
      <x:c r="L142" s="119"/>
      <x:c r="M142" s="119"/>
      <x:c r="N142" s="119"/>
      <x:c r="O142" s="119"/>
      <x:c r="P142" s="119"/>
    </x:row>
    <x:row r="143">
      <x:c r="A143" s="119"/>
      <x:c r="B143" s="119"/>
      <x:c r="C143" s="119"/>
      <x:c r="D143" s="119"/>
      <x:c r="E143" s="119"/>
      <x:c r="F143" s="119"/>
      <x:c r="G143" s="119"/>
      <x:c r="H143" s="119"/>
      <x:c r="I143" s="119"/>
      <x:c r="J143" s="119"/>
      <x:c r="K143" s="119"/>
      <x:c r="L143" s="119"/>
      <x:c r="M143" s="119"/>
      <x:c r="N143" s="119"/>
      <x:c r="O143" s="119"/>
      <x:c r="P143" s="119"/>
    </x:row>
    <x:row r="144">
      <x:c r="A144" s="119"/>
      <x:c r="B144" s="119"/>
      <x:c r="C144" s="119"/>
      <x:c r="D144" s="119"/>
      <x:c r="E144" s="119"/>
      <x:c r="F144" s="119"/>
      <x:c r="G144" s="119"/>
      <x:c r="H144" s="119"/>
      <x:c r="I144" s="119"/>
      <x:c r="J144" s="119"/>
      <x:c r="K144" s="119"/>
      <x:c r="L144" s="119"/>
      <x:c r="M144" s="119"/>
      <x:c r="N144" s="119"/>
      <x:c r="O144" s="119"/>
      <x:c r="P144" s="119"/>
    </x:row>
    <x:row r="145">
      <x:c r="A145" s="119"/>
      <x:c r="B145" s="119"/>
      <x:c r="C145" s="119"/>
      <x:c r="D145" s="119"/>
      <x:c r="E145" s="119"/>
      <x:c r="F145" s="119"/>
      <x:c r="G145" s="119"/>
      <x:c r="H145" s="119"/>
      <x:c r="I145" s="119"/>
      <x:c r="J145" s="119"/>
      <x:c r="K145" s="119"/>
      <x:c r="L145" s="119"/>
      <x:c r="M145" s="119"/>
      <x:c r="N145" s="119"/>
      <x:c r="O145" s="119"/>
      <x:c r="P145" s="119"/>
    </x:row>
    <x:row r="146">
      <x:c r="A146" s="119"/>
      <x:c r="B146" s="119"/>
      <x:c r="C146" s="119"/>
      <x:c r="D146" s="119"/>
      <x:c r="E146" s="119"/>
      <x:c r="F146" s="119"/>
      <x:c r="G146" s="119"/>
      <x:c r="H146" s="119"/>
      <x:c r="I146" s="119"/>
      <x:c r="J146" s="119"/>
      <x:c r="K146" s="119"/>
      <x:c r="L146" s="119"/>
      <x:c r="M146" s="119"/>
      <x:c r="N146" s="119"/>
      <x:c r="O146" s="119"/>
      <x:c r="P146" s="119"/>
    </x:row>
    <x:row r="147">
      <x:c r="A147" s="119"/>
      <x:c r="B147" s="119"/>
      <x:c r="C147" s="119"/>
      <x:c r="D147" s="119"/>
      <x:c r="E147" s="119"/>
      <x:c r="F147" s="119"/>
      <x:c r="G147" s="119"/>
      <x:c r="H147" s="119"/>
      <x:c r="I147" s="119"/>
      <x:c r="J147" s="119"/>
      <x:c r="K147" s="119"/>
      <x:c r="L147" s="119"/>
      <x:c r="M147" s="119"/>
      <x:c r="N147" s="119"/>
      <x:c r="O147" s="119"/>
      <x:c r="P147" s="119"/>
    </x:row>
    <x:row r="148">
      <x:c r="A148" s="119"/>
      <x:c r="B148" s="119"/>
      <x:c r="C148" s="119"/>
      <x:c r="D148" s="119"/>
      <x:c r="E148" s="119"/>
      <x:c r="F148" s="119"/>
      <x:c r="G148" s="119"/>
      <x:c r="H148" s="119"/>
      <x:c r="I148" s="119"/>
      <x:c r="J148" s="119"/>
      <x:c r="K148" s="119"/>
      <x:c r="L148" s="119"/>
      <x:c r="M148" s="119"/>
      <x:c r="N148" s="119"/>
      <x:c r="O148" s="119"/>
      <x:c r="P148" s="119"/>
    </x:row>
    <x:row r="149">
      <x:c r="A149" s="119"/>
      <x:c r="B149" s="119"/>
      <x:c r="C149" s="119"/>
      <x:c r="D149" s="119"/>
      <x:c r="E149" s="119"/>
      <x:c r="F149" s="119"/>
      <x:c r="G149" s="119"/>
      <x:c r="H149" s="119"/>
      <x:c r="I149" s="119"/>
      <x:c r="J149" s="119"/>
      <x:c r="K149" s="119"/>
      <x:c r="L149" s="119"/>
      <x:c r="M149" s="119"/>
      <x:c r="N149" s="119"/>
      <x:c r="O149" s="119"/>
      <x:c r="P149" s="119"/>
    </x:row>
    <x:row r="150">
      <x:c r="A150" s="119"/>
      <x:c r="B150" s="119"/>
      <x:c r="C150" s="119"/>
      <x:c r="D150" s="119"/>
      <x:c r="E150" s="119"/>
      <x:c r="F150" s="119"/>
      <x:c r="G150" s="119"/>
      <x:c r="H150" s="119"/>
      <x:c r="I150" s="119"/>
      <x:c r="J150" s="119"/>
      <x:c r="K150" s="119"/>
      <x:c r="L150" s="119"/>
      <x:c r="M150" s="119"/>
      <x:c r="N150" s="119"/>
      <x:c r="O150" s="119"/>
      <x:c r="P150" s="119"/>
    </x:row>
    <x:row r="151">
      <x:c r="A151" s="119"/>
      <x:c r="B151" s="119"/>
      <x:c r="C151" s="119"/>
      <x:c r="D151" s="119"/>
      <x:c r="E151" s="119"/>
      <x:c r="F151" s="119"/>
      <x:c r="G151" s="119"/>
      <x:c r="H151" s="119"/>
      <x:c r="I151" s="119"/>
      <x:c r="J151" s="119"/>
      <x:c r="K151" s="119"/>
      <x:c r="L151" s="119"/>
      <x:c r="M151" s="119"/>
      <x:c r="N151" s="119"/>
      <x:c r="O151" s="119"/>
      <x:c r="P151" s="119"/>
    </x:row>
    <x:row r="152">
      <x:c r="A152" s="119"/>
      <x:c r="B152" s="119"/>
      <x:c r="C152" s="119"/>
      <x:c r="D152" s="119"/>
      <x:c r="E152" s="119"/>
      <x:c r="F152" s="119"/>
      <x:c r="G152" s="119"/>
      <x:c r="H152" s="119"/>
      <x:c r="I152" s="119"/>
      <x:c r="J152" s="119"/>
      <x:c r="K152" s="119"/>
      <x:c r="L152" s="119"/>
      <x:c r="M152" s="119"/>
      <x:c r="N152" s="119"/>
      <x:c r="O152" s="119"/>
      <x:c r="P152" s="119"/>
    </x:row>
    <x:row r="153">
      <x:c r="A153" s="119"/>
      <x:c r="B153" s="119"/>
      <x:c r="C153" s="119"/>
      <x:c r="D153" s="119"/>
      <x:c r="E153" s="119"/>
      <x:c r="F153" s="119"/>
      <x:c r="G153" s="119"/>
      <x:c r="H153" s="119"/>
      <x:c r="I153" s="119"/>
      <x:c r="J153" s="119"/>
      <x:c r="K153" s="119"/>
      <x:c r="L153" s="119"/>
      <x:c r="M153" s="119"/>
      <x:c r="N153" s="119"/>
      <x:c r="O153" s="119"/>
      <x:c r="P153" s="119"/>
    </x:row>
    <x:row r="154">
      <x:c r="A154" s="119"/>
      <x:c r="B154" s="119"/>
      <x:c r="C154" s="119"/>
      <x:c r="D154" s="119"/>
      <x:c r="E154" s="119"/>
      <x:c r="F154" s="119"/>
      <x:c r="G154" s="119"/>
      <x:c r="H154" s="119"/>
      <x:c r="I154" s="119"/>
      <x:c r="J154" s="119"/>
      <x:c r="K154" s="119"/>
      <x:c r="L154" s="119"/>
      <x:c r="M154" s="119"/>
      <x:c r="N154" s="119"/>
      <x:c r="O154" s="119"/>
      <x:c r="P154" s="119"/>
    </x:row>
    <x:row r="155">
      <x:c r="A155" s="119"/>
      <x:c r="B155" s="119"/>
      <x:c r="C155" s="119"/>
      <x:c r="D155" s="119"/>
      <x:c r="E155" s="119"/>
      <x:c r="F155" s="119"/>
      <x:c r="G155" s="119"/>
      <x:c r="H155" s="119"/>
      <x:c r="I155" s="119"/>
      <x:c r="J155" s="119"/>
      <x:c r="K155" s="119"/>
      <x:c r="L155" s="119"/>
      <x:c r="M155" s="119"/>
      <x:c r="N155" s="119"/>
      <x:c r="O155" s="119"/>
      <x:c r="P155" s="119"/>
    </x:row>
    <x:row r="156">
      <x:c r="A156" s="119"/>
      <x:c r="B156" s="119"/>
      <x:c r="C156" s="119"/>
      <x:c r="D156" s="119"/>
      <x:c r="E156" s="119"/>
      <x:c r="F156" s="119"/>
      <x:c r="G156" s="119"/>
      <x:c r="H156" s="119"/>
      <x:c r="I156" s="119"/>
      <x:c r="J156" s="119"/>
      <x:c r="K156" s="119"/>
      <x:c r="L156" s="119"/>
      <x:c r="M156" s="119"/>
      <x:c r="N156" s="119"/>
      <x:c r="O156" s="119"/>
      <x:c r="P156" s="119"/>
    </x:row>
    <x:row r="157">
      <x:c r="A157" s="119"/>
      <x:c r="B157" s="119"/>
      <x:c r="C157" s="119"/>
      <x:c r="D157" s="119"/>
      <x:c r="E157" s="119"/>
      <x:c r="F157" s="119"/>
      <x:c r="G157" s="119"/>
      <x:c r="H157" s="119"/>
      <x:c r="I157" s="119"/>
      <x:c r="J157" s="119"/>
      <x:c r="K157" s="119"/>
      <x:c r="L157" s="119"/>
      <x:c r="M157" s="119"/>
      <x:c r="N157" s="119"/>
      <x:c r="O157" s="119"/>
      <x:c r="P157" s="119"/>
    </x:row>
    <x:row r="158">
      <x:c r="A158" s="119"/>
      <x:c r="B158" s="119"/>
      <x:c r="C158" s="119"/>
      <x:c r="D158" s="119"/>
      <x:c r="E158" s="119"/>
      <x:c r="F158" s="119"/>
      <x:c r="G158" s="119"/>
      <x:c r="H158" s="119"/>
      <x:c r="I158" s="119"/>
      <x:c r="J158" s="119"/>
      <x:c r="K158" s="119"/>
      <x:c r="L158" s="119"/>
      <x:c r="M158" s="119"/>
      <x:c r="N158" s="119"/>
      <x:c r="O158" s="119"/>
      <x:c r="P158" s="119"/>
    </x:row>
    <x:row r="159">
      <x:c r="A159" s="119"/>
      <x:c r="B159" s="119"/>
      <x:c r="C159" s="119"/>
      <x:c r="D159" s="119"/>
      <x:c r="E159" s="119"/>
      <x:c r="F159" s="119"/>
      <x:c r="G159" s="119"/>
      <x:c r="H159" s="119"/>
      <x:c r="I159" s="119"/>
      <x:c r="J159" s="119"/>
      <x:c r="K159" s="119"/>
      <x:c r="L159" s="119"/>
      <x:c r="M159" s="119"/>
      <x:c r="N159" s="119"/>
      <x:c r="O159" s="119"/>
      <x:c r="P159" s="119"/>
    </x:row>
    <x:row r="160">
      <x:c r="A160" s="119"/>
      <x:c r="B160" s="119"/>
      <x:c r="C160" s="119"/>
      <x:c r="D160" s="119"/>
      <x:c r="E160" s="119"/>
      <x:c r="F160" s="119"/>
      <x:c r="G160" s="119"/>
      <x:c r="H160" s="119"/>
      <x:c r="I160" s="119"/>
      <x:c r="J160" s="119"/>
      <x:c r="K160" s="119"/>
      <x:c r="L160" s="119"/>
      <x:c r="M160" s="119"/>
      <x:c r="N160" s="119"/>
      <x:c r="O160" s="119"/>
      <x:c r="P160" s="119"/>
    </x:row>
    <x:row r="161">
      <x:c r="A161" s="119"/>
      <x:c r="B161" s="119"/>
      <x:c r="C161" s="119"/>
      <x:c r="D161" s="119"/>
      <x:c r="E161" s="119"/>
      <x:c r="F161" s="119"/>
      <x:c r="G161" s="119"/>
      <x:c r="H161" s="119"/>
      <x:c r="I161" s="119"/>
      <x:c r="J161" s="119"/>
      <x:c r="K161" s="119"/>
      <x:c r="L161" s="119"/>
      <x:c r="M161" s="119"/>
      <x:c r="N161" s="119"/>
      <x:c r="O161" s="119"/>
      <x:c r="P161" s="119"/>
    </x:row>
    <x:row r="162">
      <x:c r="A162" s="119"/>
      <x:c r="B162" s="119"/>
      <x:c r="C162" s="119"/>
      <x:c r="D162" s="119"/>
      <x:c r="E162" s="119"/>
      <x:c r="F162" s="119"/>
      <x:c r="G162" s="119"/>
      <x:c r="H162" s="119"/>
      <x:c r="I162" s="119"/>
      <x:c r="J162" s="119"/>
      <x:c r="K162" s="119"/>
      <x:c r="L162" s="119"/>
      <x:c r="M162" s="119"/>
      <x:c r="N162" s="119"/>
      <x:c r="O162" s="119"/>
      <x:c r="P162" s="119"/>
    </x:row>
    <x:row r="163">
      <x:c r="A163" s="119"/>
      <x:c r="B163" s="119"/>
      <x:c r="C163" s="119"/>
      <x:c r="D163" s="119"/>
      <x:c r="E163" s="119"/>
      <x:c r="F163" s="119"/>
      <x:c r="G163" s="119"/>
      <x:c r="H163" s="119"/>
      <x:c r="I163" s="119"/>
      <x:c r="J163" s="119"/>
      <x:c r="K163" s="119"/>
      <x:c r="L163" s="119"/>
      <x:c r="M163" s="119"/>
      <x:c r="N163" s="119"/>
      <x:c r="O163" s="119"/>
      <x:c r="P163" s="119"/>
    </x:row>
    <x:row r="164">
      <x:c r="A164" s="119"/>
      <x:c r="B164" s="119"/>
      <x:c r="C164" s="119"/>
      <x:c r="D164" s="119"/>
      <x:c r="E164" s="119"/>
      <x:c r="F164" s="119"/>
      <x:c r="G164" s="119"/>
      <x:c r="H164" s="119"/>
      <x:c r="I164" s="119"/>
      <x:c r="J164" s="119"/>
      <x:c r="K164" s="119"/>
      <x:c r="L164" s="119"/>
      <x:c r="M164" s="119"/>
      <x:c r="N164" s="119"/>
      <x:c r="O164" s="119"/>
      <x:c r="P164" s="119"/>
    </x:row>
    <x:row r="165">
      <x:c r="A165" s="119"/>
      <x:c r="B165" s="119"/>
      <x:c r="C165" s="119"/>
      <x:c r="D165" s="119"/>
      <x:c r="E165" s="119"/>
      <x:c r="F165" s="119"/>
      <x:c r="G165" s="119"/>
      <x:c r="H165" s="119"/>
      <x:c r="I165" s="119"/>
      <x:c r="J165" s="119"/>
      <x:c r="K165" s="119"/>
      <x:c r="L165" s="119"/>
      <x:c r="M165" s="119"/>
      <x:c r="N165" s="119"/>
      <x:c r="O165" s="119"/>
      <x:c r="P165" s="119"/>
    </x:row>
    <x:row r="166">
      <x:c r="A166" s="119"/>
      <x:c r="B166" s="119"/>
      <x:c r="C166" s="119"/>
      <x:c r="D166" s="119"/>
      <x:c r="E166" s="119"/>
      <x:c r="F166" s="119"/>
      <x:c r="G166" s="119"/>
      <x:c r="H166" s="119"/>
      <x:c r="I166" s="119"/>
      <x:c r="J166" s="119"/>
      <x:c r="K166" s="119"/>
      <x:c r="L166" s="119"/>
      <x:c r="M166" s="119"/>
      <x:c r="N166" s="119"/>
      <x:c r="O166" s="119"/>
      <x:c r="P166" s="119"/>
    </x:row>
    <x:row r="167">
      <x:c r="A167" s="119"/>
      <x:c r="B167" s="119"/>
      <x:c r="C167" s="119"/>
      <x:c r="D167" s="119"/>
      <x:c r="E167" s="119"/>
      <x:c r="F167" s="119"/>
      <x:c r="G167" s="119"/>
      <x:c r="H167" s="119"/>
      <x:c r="I167" s="119"/>
      <x:c r="J167" s="119"/>
      <x:c r="K167" s="119"/>
      <x:c r="L167" s="119"/>
      <x:c r="M167" s="119"/>
      <x:c r="N167" s="119"/>
      <x:c r="O167" s="119"/>
      <x:c r="P167" s="119"/>
    </x:row>
    <x:row r="168">
      <x:c r="A168" s="119"/>
      <x:c r="B168" s="119"/>
      <x:c r="C168" s="119"/>
      <x:c r="D168" s="119"/>
      <x:c r="E168" s="119"/>
      <x:c r="F168" s="119"/>
      <x:c r="G168" s="119"/>
      <x:c r="H168" s="119"/>
      <x:c r="I168" s="119"/>
      <x:c r="J168" s="119"/>
      <x:c r="K168" s="119"/>
      <x:c r="L168" s="119"/>
      <x:c r="M168" s="119"/>
      <x:c r="N168" s="119"/>
      <x:c r="O168" s="119"/>
      <x:c r="P168" s="119"/>
    </x:row>
    <x:row r="169">
      <x:c r="A169" s="119"/>
      <x:c r="B169" s="119"/>
      <x:c r="C169" s="119"/>
      <x:c r="D169" s="119"/>
      <x:c r="E169" s="119"/>
      <x:c r="F169" s="119"/>
      <x:c r="G169" s="119"/>
      <x:c r="H169" s="119"/>
      <x:c r="I169" s="119"/>
      <x:c r="J169" s="119"/>
      <x:c r="K169" s="119"/>
      <x:c r="L169" s="119"/>
      <x:c r="M169" s="119"/>
      <x:c r="N169" s="119"/>
      <x:c r="O169" s="119"/>
      <x:c r="P169" s="119"/>
    </x:row>
    <x:row r="170">
      <x:c r="A170" s="119"/>
      <x:c r="B170" s="119"/>
      <x:c r="C170" s="119"/>
      <x:c r="D170" s="119"/>
      <x:c r="E170" s="119"/>
      <x:c r="F170" s="119"/>
      <x:c r="G170" s="119"/>
      <x:c r="H170" s="119"/>
      <x:c r="I170" s="119"/>
      <x:c r="J170" s="119"/>
      <x:c r="K170" s="119"/>
      <x:c r="L170" s="119"/>
      <x:c r="M170" s="119"/>
      <x:c r="N170" s="119"/>
      <x:c r="O170" s="119"/>
      <x:c r="P170" s="119"/>
    </x:row>
    <x:row r="171">
      <x:c r="A171" s="119"/>
      <x:c r="B171" s="119"/>
      <x:c r="C171" s="119"/>
      <x:c r="D171" s="119"/>
      <x:c r="E171" s="119"/>
      <x:c r="F171" s="119"/>
      <x:c r="G171" s="119"/>
      <x:c r="H171" s="119"/>
      <x:c r="I171" s="119"/>
      <x:c r="J171" s="119"/>
      <x:c r="K171" s="119"/>
      <x:c r="L171" s="119"/>
      <x:c r="M171" s="119"/>
      <x:c r="N171" s="119"/>
      <x:c r="O171" s="119"/>
      <x:c r="P171" s="119"/>
    </x:row>
    <x:row r="172">
      <x:c r="A172" s="119"/>
      <x:c r="B172" s="119"/>
      <x:c r="C172" s="119"/>
      <x:c r="D172" s="119"/>
      <x:c r="E172" s="119"/>
      <x:c r="F172" s="119"/>
      <x:c r="G172" s="119"/>
      <x:c r="H172" s="119"/>
      <x:c r="I172" s="119"/>
      <x:c r="J172" s="119"/>
      <x:c r="K172" s="119"/>
      <x:c r="L172" s="119"/>
      <x:c r="M172" s="119"/>
      <x:c r="N172" s="119"/>
      <x:c r="O172" s="119"/>
      <x:c r="P172" s="119"/>
    </x:row>
    <x:row r="173">
      <x:c r="A173" s="119"/>
      <x:c r="B173" s="119"/>
      <x:c r="C173" s="119"/>
      <x:c r="D173" s="119"/>
      <x:c r="E173" s="119"/>
      <x:c r="F173" s="119"/>
      <x:c r="G173" s="119"/>
      <x:c r="H173" s="119"/>
      <x:c r="I173" s="119"/>
      <x:c r="J173" s="119"/>
      <x:c r="K173" s="119"/>
      <x:c r="L173" s="119"/>
      <x:c r="M173" s="119"/>
      <x:c r="N173" s="119"/>
      <x:c r="O173" s="119"/>
      <x:c r="P173" s="119"/>
    </x:row>
    <x:row r="174">
      <x:c r="A174" s="119"/>
      <x:c r="B174" s="119"/>
      <x:c r="C174" s="119"/>
      <x:c r="D174" s="119"/>
      <x:c r="E174" s="119"/>
      <x:c r="F174" s="119"/>
      <x:c r="G174" s="119"/>
      <x:c r="H174" s="119"/>
      <x:c r="I174" s="119"/>
      <x:c r="J174" s="119"/>
      <x:c r="K174" s="119"/>
      <x:c r="L174" s="119"/>
      <x:c r="M174" s="119"/>
      <x:c r="N174" s="119"/>
      <x:c r="O174" s="119"/>
      <x:c r="P174" s="119"/>
    </x:row>
    <x:row r="175">
      <x:c r="A175" s="119"/>
      <x:c r="B175" s="119"/>
      <x:c r="C175" s="119"/>
      <x:c r="D175" s="119"/>
      <x:c r="E175" s="119"/>
      <x:c r="F175" s="119"/>
      <x:c r="G175" s="119"/>
      <x:c r="H175" s="119"/>
      <x:c r="I175" s="119"/>
      <x:c r="J175" s="119"/>
      <x:c r="K175" s="119"/>
      <x:c r="L175" s="119"/>
      <x:c r="M175" s="119"/>
      <x:c r="N175" s="119"/>
      <x:c r="O175" s="119"/>
      <x:c r="P175" s="119"/>
    </x:row>
    <x:row r="176">
      <x:c r="A176" s="119"/>
      <x:c r="B176" s="119"/>
      <x:c r="C176" s="119"/>
      <x:c r="D176" s="119"/>
      <x:c r="E176" s="119"/>
      <x:c r="F176" s="119"/>
      <x:c r="G176" s="119"/>
      <x:c r="H176" s="119"/>
      <x:c r="I176" s="119"/>
      <x:c r="J176" s="119"/>
      <x:c r="K176" s="119"/>
      <x:c r="L176" s="119"/>
      <x:c r="M176" s="119"/>
      <x:c r="N176" s="119"/>
      <x:c r="O176" s="119"/>
      <x:c r="P176" s="119"/>
    </x:row>
    <x:row r="177">
      <x:c r="A177" s="119"/>
      <x:c r="B177" s="119"/>
      <x:c r="C177" s="119"/>
      <x:c r="D177" s="119"/>
      <x:c r="E177" s="119"/>
      <x:c r="F177" s="119"/>
      <x:c r="G177" s="119"/>
      <x:c r="H177" s="119"/>
      <x:c r="I177" s="119"/>
      <x:c r="J177" s="119"/>
      <x:c r="K177" s="119"/>
      <x:c r="L177" s="119"/>
      <x:c r="M177" s="119"/>
      <x:c r="N177" s="119"/>
      <x:c r="O177" s="119"/>
      <x:c r="P177" s="119"/>
    </x:row>
    <x:row r="178">
      <x:c r="A178" s="119"/>
      <x:c r="B178" s="119"/>
      <x:c r="C178" s="119"/>
      <x:c r="D178" s="119"/>
      <x:c r="E178" s="119"/>
      <x:c r="F178" s="119"/>
      <x:c r="G178" s="119"/>
      <x:c r="H178" s="119"/>
      <x:c r="I178" s="119"/>
      <x:c r="J178" s="119"/>
      <x:c r="K178" s="119"/>
      <x:c r="L178" s="119"/>
      <x:c r="M178" s="119"/>
      <x:c r="N178" s="119"/>
      <x:c r="O178" s="119"/>
      <x:c r="P178" s="119"/>
    </x:row>
    <x:row r="179">
      <x:c r="A179" s="119"/>
      <x:c r="B179" s="119"/>
      <x:c r="C179" s="119"/>
      <x:c r="D179" s="119"/>
      <x:c r="E179" s="119"/>
      <x:c r="F179" s="119"/>
      <x:c r="G179" s="119"/>
      <x:c r="H179" s="119"/>
      <x:c r="I179" s="119"/>
      <x:c r="J179" s="119"/>
      <x:c r="K179" s="119"/>
      <x:c r="L179" s="119"/>
      <x:c r="M179" s="119"/>
      <x:c r="N179" s="119"/>
      <x:c r="O179" s="119"/>
      <x:c r="P179" s="119"/>
    </x:row>
    <x:row r="180">
      <x:c r="A180" s="119"/>
      <x:c r="B180" s="119"/>
      <x:c r="C180" s="119"/>
      <x:c r="D180" s="119"/>
      <x:c r="E180" s="119"/>
      <x:c r="F180" s="119"/>
      <x:c r="G180" s="119"/>
      <x:c r="H180" s="119"/>
      <x:c r="I180" s="119"/>
      <x:c r="J180" s="119"/>
      <x:c r="K180" s="119"/>
      <x:c r="L180" s="119"/>
      <x:c r="M180" s="119"/>
      <x:c r="N180" s="119"/>
      <x:c r="O180" s="119"/>
      <x:c r="P180" s="119"/>
    </x:row>
    <x:row r="181">
      <x:c r="A181" s="119"/>
      <x:c r="B181" s="119"/>
      <x:c r="C181" s="119"/>
      <x:c r="D181" s="119"/>
      <x:c r="E181" s="119"/>
      <x:c r="F181" s="119"/>
      <x:c r="G181" s="119"/>
      <x:c r="H181" s="119"/>
      <x:c r="I181" s="119"/>
      <x:c r="J181" s="119"/>
      <x:c r="K181" s="119"/>
      <x:c r="L181" s="119"/>
      <x:c r="M181" s="119"/>
      <x:c r="N181" s="119"/>
      <x:c r="O181" s="119"/>
      <x:c r="P181" s="119"/>
    </x:row>
    <x:row r="182">
      <x:c r="A182" s="119"/>
      <x:c r="B182" s="119"/>
      <x:c r="C182" s="119"/>
      <x:c r="D182" s="119"/>
      <x:c r="E182" s="119"/>
      <x:c r="F182" s="119"/>
      <x:c r="G182" s="119"/>
      <x:c r="H182" s="119"/>
      <x:c r="I182" s="119"/>
      <x:c r="J182" s="119"/>
      <x:c r="K182" s="119"/>
      <x:c r="L182" s="119"/>
      <x:c r="M182" s="119"/>
      <x:c r="N182" s="119"/>
      <x:c r="O182" s="119"/>
      <x:c r="P182" s="119"/>
    </x:row>
    <x:row r="183">
      <x:c r="A183" s="119"/>
      <x:c r="B183" s="119"/>
      <x:c r="C183" s="119"/>
      <x:c r="D183" s="119"/>
      <x:c r="E183" s="119"/>
      <x:c r="F183" s="119"/>
      <x:c r="G183" s="119"/>
      <x:c r="H183" s="119"/>
      <x:c r="I183" s="119"/>
      <x:c r="J183" s="119"/>
      <x:c r="K183" s="119"/>
      <x:c r="L183" s="119"/>
      <x:c r="M183" s="119"/>
      <x:c r="N183" s="119"/>
      <x:c r="O183" s="119"/>
      <x:c r="P183" s="119"/>
    </x:row>
    <x:row r="184">
      <x:c r="A184" s="119"/>
      <x:c r="B184" s="119"/>
      <x:c r="C184" s="119"/>
      <x:c r="D184" s="119"/>
      <x:c r="E184" s="119"/>
      <x:c r="F184" s="119"/>
      <x:c r="G184" s="119"/>
      <x:c r="H184" s="119"/>
      <x:c r="I184" s="119"/>
      <x:c r="J184" s="119"/>
      <x:c r="K184" s="119"/>
      <x:c r="L184" s="119"/>
      <x:c r="M184" s="119"/>
      <x:c r="N184" s="119"/>
      <x:c r="O184" s="119"/>
      <x:c r="P184" s="119"/>
    </x:row>
    <x:row r="185">
      <x:c r="A185" s="119"/>
      <x:c r="B185" s="119"/>
      <x:c r="C185" s="119"/>
      <x:c r="D185" s="119"/>
      <x:c r="E185" s="119"/>
      <x:c r="F185" s="119"/>
      <x:c r="G185" s="119"/>
      <x:c r="H185" s="119"/>
      <x:c r="I185" s="119"/>
      <x:c r="J185" s="119"/>
      <x:c r="K185" s="119"/>
      <x:c r="L185" s="119"/>
      <x:c r="M185" s="119"/>
      <x:c r="N185" s="119"/>
      <x:c r="O185" s="119"/>
      <x:c r="P185" s="119"/>
    </x:row>
    <x:row r="186">
      <x:c r="A186" s="119"/>
      <x:c r="B186" s="119"/>
      <x:c r="C186" s="119"/>
      <x:c r="D186" s="119"/>
      <x:c r="E186" s="119"/>
      <x:c r="F186" s="119"/>
      <x:c r="G186" s="119"/>
      <x:c r="H186" s="119"/>
      <x:c r="I186" s="119"/>
      <x:c r="J186" s="119"/>
      <x:c r="K186" s="119"/>
      <x:c r="L186" s="119"/>
      <x:c r="M186" s="119"/>
      <x:c r="N186" s="119"/>
      <x:c r="O186" s="119"/>
      <x:c r="P186" s="119"/>
    </x:row>
    <x:row r="187">
      <x:c r="A187" s="119"/>
      <x:c r="B187" s="119"/>
      <x:c r="C187" s="119"/>
      <x:c r="D187" s="119"/>
      <x:c r="E187" s="119"/>
      <x:c r="F187" s="119"/>
      <x:c r="G187" s="119"/>
      <x:c r="H187" s="119"/>
      <x:c r="I187" s="119"/>
      <x:c r="J187" s="119"/>
      <x:c r="K187" s="119"/>
      <x:c r="L187" s="119"/>
      <x:c r="M187" s="119"/>
      <x:c r="N187" s="119"/>
      <x:c r="O187" s="119"/>
      <x:c r="P187" s="119"/>
    </x:row>
    <x:row r="188">
      <x:c r="A188" s="119"/>
      <x:c r="B188" s="119"/>
      <x:c r="C188" s="119"/>
      <x:c r="D188" s="119"/>
      <x:c r="E188" s="119"/>
      <x:c r="F188" s="119"/>
      <x:c r="G188" s="119"/>
      <x:c r="H188" s="119"/>
      <x:c r="I188" s="119"/>
      <x:c r="J188" s="119"/>
      <x:c r="K188" s="119"/>
      <x:c r="L188" s="119"/>
      <x:c r="M188" s="119"/>
      <x:c r="N188" s="119"/>
      <x:c r="O188" s="119"/>
      <x:c r="P188" s="119"/>
    </x:row>
    <x:row r="189">
      <x:c r="A189" s="119"/>
      <x:c r="B189" s="119"/>
      <x:c r="C189" s="119"/>
      <x:c r="D189" s="119"/>
      <x:c r="E189" s="119"/>
      <x:c r="F189" s="119"/>
      <x:c r="G189" s="119"/>
      <x:c r="H189" s="119"/>
      <x:c r="I189" s="119"/>
      <x:c r="J189" s="119"/>
      <x:c r="K189" s="119"/>
      <x:c r="L189" s="119"/>
      <x:c r="M189" s="119"/>
      <x:c r="N189" s="119"/>
      <x:c r="O189" s="119"/>
      <x:c r="P189" s="119"/>
    </x:row>
    <x:row r="190">
      <x:c r="A190" s="119"/>
      <x:c r="B190" s="119"/>
      <x:c r="C190" s="119"/>
      <x:c r="D190" s="119"/>
      <x:c r="E190" s="119"/>
      <x:c r="F190" s="119"/>
      <x:c r="G190" s="119"/>
      <x:c r="H190" s="119"/>
      <x:c r="I190" s="119"/>
      <x:c r="J190" s="119"/>
      <x:c r="K190" s="119"/>
      <x:c r="L190" s="119"/>
      <x:c r="M190" s="119"/>
      <x:c r="N190" s="119"/>
      <x:c r="O190" s="119"/>
      <x:c r="P190" s="119"/>
    </x:row>
    <x:row r="191">
      <x:c r="A191" s="119"/>
      <x:c r="B191" s="119"/>
      <x:c r="C191" s="119"/>
      <x:c r="D191" s="119"/>
      <x:c r="E191" s="119"/>
      <x:c r="F191" s="119"/>
      <x:c r="G191" s="119"/>
      <x:c r="H191" s="119"/>
      <x:c r="I191" s="119"/>
      <x:c r="J191" s="119"/>
      <x:c r="K191" s="119"/>
      <x:c r="L191" s="119"/>
      <x:c r="M191" s="119"/>
      <x:c r="N191" s="119"/>
      <x:c r="O191" s="119"/>
      <x:c r="P191" s="119"/>
    </x:row>
    <x:row r="192">
      <x:c r="A192" s="119"/>
      <x:c r="B192" s="119"/>
      <x:c r="C192" s="119"/>
      <x:c r="D192" s="119"/>
      <x:c r="E192" s="119"/>
      <x:c r="F192" s="119"/>
      <x:c r="G192" s="119"/>
      <x:c r="H192" s="119"/>
      <x:c r="I192" s="119"/>
      <x:c r="J192" s="119"/>
      <x:c r="K192" s="119"/>
      <x:c r="L192" s="119"/>
      <x:c r="M192" s="119"/>
      <x:c r="N192" s="119"/>
      <x:c r="O192" s="119"/>
      <x:c r="P192" s="119"/>
    </x:row>
    <x:row r="193">
      <x:c r="A193" s="119"/>
      <x:c r="B193" s="119"/>
      <x:c r="C193" s="119"/>
      <x:c r="D193" s="119"/>
      <x:c r="E193" s="119"/>
      <x:c r="F193" s="119"/>
      <x:c r="G193" s="119"/>
      <x:c r="H193" s="119"/>
      <x:c r="I193" s="119"/>
      <x:c r="J193" s="119"/>
      <x:c r="K193" s="119"/>
      <x:c r="L193" s="119"/>
      <x:c r="M193" s="119"/>
      <x:c r="N193" s="119"/>
      <x:c r="O193" s="119"/>
      <x:c r="P193" s="119"/>
    </x:row>
    <x:row r="194">
      <x:c r="A194" s="119"/>
      <x:c r="B194" s="119"/>
      <x:c r="C194" s="119"/>
      <x:c r="D194" s="119"/>
      <x:c r="E194" s="119"/>
      <x:c r="F194" s="119"/>
      <x:c r="G194" s="119"/>
      <x:c r="H194" s="119"/>
      <x:c r="I194" s="119"/>
      <x:c r="J194" s="119"/>
      <x:c r="K194" s="119"/>
      <x:c r="L194" s="119"/>
      <x:c r="M194" s="119"/>
      <x:c r="N194" s="119"/>
      <x:c r="O194" s="119"/>
      <x:c r="P194" s="119"/>
    </x:row>
    <x:row r="195">
      <x:c r="A195" s="119"/>
      <x:c r="B195" s="119"/>
      <x:c r="C195" s="119"/>
      <x:c r="D195" s="119"/>
      <x:c r="E195" s="119"/>
      <x:c r="F195" s="119"/>
      <x:c r="G195" s="119"/>
      <x:c r="H195" s="119"/>
      <x:c r="I195" s="119"/>
      <x:c r="J195" s="119"/>
      <x:c r="K195" s="119"/>
      <x:c r="L195" s="119"/>
      <x:c r="M195" s="119"/>
      <x:c r="N195" s="119"/>
      <x:c r="O195" s="119"/>
      <x:c r="P195" s="119"/>
    </x:row>
    <x:row r="196">
      <x:c r="A196" s="119"/>
      <x:c r="B196" s="119"/>
      <x:c r="C196" s="119"/>
      <x:c r="D196" s="119"/>
      <x:c r="E196" s="119"/>
      <x:c r="F196" s="119"/>
      <x:c r="G196" s="119"/>
      <x:c r="H196" s="119"/>
      <x:c r="I196" s="119"/>
      <x:c r="J196" s="119"/>
      <x:c r="K196" s="119"/>
      <x:c r="L196" s="119"/>
      <x:c r="M196" s="119"/>
      <x:c r="N196" s="119"/>
      <x:c r="O196" s="119"/>
      <x:c r="P196" s="119"/>
    </x:row>
    <x:row r="197">
      <x:c r="A197" s="119"/>
      <x:c r="B197" s="119"/>
      <x:c r="C197" s="119"/>
      <x:c r="D197" s="119"/>
      <x:c r="E197" s="119"/>
      <x:c r="F197" s="119"/>
      <x:c r="G197" s="119"/>
      <x:c r="H197" s="119"/>
      <x:c r="I197" s="119"/>
      <x:c r="J197" s="119"/>
      <x:c r="K197" s="119"/>
      <x:c r="L197" s="119"/>
      <x:c r="M197" s="119"/>
      <x:c r="N197" s="119"/>
      <x:c r="O197" s="119"/>
      <x:c r="P197" s="119"/>
    </x:row>
    <x:row r="198">
      <x:c r="A198" s="119"/>
      <x:c r="B198" s="119"/>
      <x:c r="C198" s="119"/>
      <x:c r="D198" s="119"/>
      <x:c r="E198" s="119"/>
      <x:c r="F198" s="119"/>
      <x:c r="G198" s="119"/>
      <x:c r="H198" s="119"/>
      <x:c r="I198" s="119"/>
      <x:c r="J198" s="119"/>
      <x:c r="K198" s="119"/>
      <x:c r="L198" s="119"/>
      <x:c r="M198" s="119"/>
      <x:c r="N198" s="119"/>
      <x:c r="O198" s="119"/>
      <x:c r="P198" s="119"/>
    </x:row>
    <x:row r="199">
      <x:c r="A199" s="119"/>
      <x:c r="B199" s="119"/>
      <x:c r="C199" s="119"/>
      <x:c r="D199" s="119"/>
      <x:c r="E199" s="119"/>
      <x:c r="F199" s="119"/>
      <x:c r="G199" s="119"/>
      <x:c r="H199" s="119"/>
      <x:c r="I199" s="119"/>
      <x:c r="J199" s="119"/>
      <x:c r="K199" s="119"/>
      <x:c r="L199" s="119"/>
      <x:c r="M199" s="119"/>
      <x:c r="N199" s="119"/>
      <x:c r="O199" s="119"/>
      <x:c r="P199" s="119"/>
    </x:row>
    <x:row r="200">
      <x:c r="A200" s="119"/>
      <x:c r="B200" s="119"/>
      <x:c r="C200" s="119"/>
      <x:c r="D200" s="119"/>
      <x:c r="E200" s="119"/>
      <x:c r="F200" s="119"/>
      <x:c r="G200" s="119"/>
      <x:c r="H200" s="119"/>
      <x:c r="I200" s="119"/>
      <x:c r="J200" s="119"/>
      <x:c r="K200" s="119"/>
      <x:c r="L200" s="119"/>
      <x:c r="M200" s="119"/>
      <x:c r="N200" s="119"/>
      <x:c r="O200" s="119"/>
      <x:c r="P200" s="119"/>
    </x:row>
    <x:row r="201">
      <x:c r="A201" s="119"/>
      <x:c r="B201" s="119"/>
      <x:c r="C201" s="119"/>
      <x:c r="D201" s="119"/>
      <x:c r="E201" s="119"/>
      <x:c r="F201" s="119"/>
      <x:c r="G201" s="119"/>
      <x:c r="H201" s="119"/>
      <x:c r="I201" s="119"/>
      <x:c r="J201" s="119"/>
      <x:c r="K201" s="119"/>
      <x:c r="L201" s="119"/>
      <x:c r="M201" s="119"/>
      <x:c r="N201" s="119"/>
      <x:c r="O201" s="119"/>
      <x:c r="P201" s="119"/>
    </x:row>
    <x:row r="202">
      <x:c r="A202" s="119"/>
      <x:c r="B202" s="119"/>
      <x:c r="C202" s="119"/>
      <x:c r="D202" s="119"/>
      <x:c r="E202" s="119"/>
      <x:c r="F202" s="119"/>
      <x:c r="G202" s="119"/>
      <x:c r="H202" s="119"/>
      <x:c r="I202" s="119"/>
      <x:c r="J202" s="119"/>
      <x:c r="K202" s="119"/>
      <x:c r="L202" s="119"/>
      <x:c r="M202" s="119"/>
      <x:c r="N202" s="119"/>
      <x:c r="O202" s="119"/>
      <x:c r="P202" s="119"/>
    </x:row>
    <x:row r="203">
      <x:c r="A203" s="119"/>
      <x:c r="B203" s="119"/>
      <x:c r="C203" s="119"/>
      <x:c r="D203" s="119"/>
      <x:c r="E203" s="119"/>
      <x:c r="F203" s="119"/>
      <x:c r="G203" s="119"/>
      <x:c r="H203" s="119"/>
      <x:c r="I203" s="119"/>
      <x:c r="J203" s="119"/>
      <x:c r="K203" s="119"/>
      <x:c r="L203" s="119"/>
      <x:c r="M203" s="119"/>
      <x:c r="N203" s="119"/>
      <x:c r="O203" s="119"/>
      <x:c r="P203" s="119"/>
    </x:row>
    <x:row r="204">
      <x:c r="A204" s="119"/>
      <x:c r="B204" s="119"/>
      <x:c r="C204" s="119"/>
      <x:c r="D204" s="119"/>
      <x:c r="E204" s="119"/>
      <x:c r="F204" s="119"/>
      <x:c r="G204" s="119"/>
      <x:c r="H204" s="119"/>
      <x:c r="I204" s="119"/>
      <x:c r="J204" s="119"/>
      <x:c r="K204" s="119"/>
      <x:c r="L204" s="119"/>
      <x:c r="M204" s="119"/>
      <x:c r="N204" s="119"/>
      <x:c r="O204" s="119"/>
      <x:c r="P204" s="119"/>
    </x:row>
    <x:row r="205">
      <x:c r="A205" s="119"/>
      <x:c r="B205" s="119"/>
      <x:c r="C205" s="119"/>
      <x:c r="D205" s="119"/>
      <x:c r="E205" s="119"/>
      <x:c r="F205" s="119"/>
      <x:c r="G205" s="119"/>
      <x:c r="H205" s="119"/>
      <x:c r="I205" s="119"/>
      <x:c r="J205" s="119"/>
      <x:c r="K205" s="119"/>
      <x:c r="L205" s="119"/>
      <x:c r="M205" s="119"/>
      <x:c r="N205" s="119"/>
      <x:c r="O205" s="119"/>
      <x:c r="P205" s="119"/>
    </x:row>
    <x:row r="206">
      <x:c r="A206" s="119"/>
      <x:c r="B206" s="119"/>
      <x:c r="C206" s="119"/>
      <x:c r="D206" s="119"/>
      <x:c r="E206" s="119"/>
      <x:c r="F206" s="119"/>
      <x:c r="G206" s="119"/>
      <x:c r="H206" s="119"/>
      <x:c r="I206" s="119"/>
      <x:c r="J206" s="119"/>
      <x:c r="K206" s="119"/>
      <x:c r="L206" s="119"/>
      <x:c r="M206" s="119"/>
      <x:c r="N206" s="119"/>
      <x:c r="O206" s="119"/>
      <x:c r="P206" s="119"/>
    </x:row>
    <x:row r="207">
      <x:c r="A207" s="119"/>
      <x:c r="B207" s="119"/>
      <x:c r="C207" s="119"/>
      <x:c r="D207" s="119"/>
      <x:c r="E207" s="119"/>
      <x:c r="F207" s="119"/>
      <x:c r="G207" s="119"/>
      <x:c r="H207" s="119"/>
      <x:c r="I207" s="119"/>
      <x:c r="J207" s="119"/>
      <x:c r="K207" s="119"/>
      <x:c r="L207" s="119"/>
      <x:c r="M207" s="119"/>
      <x:c r="N207" s="119"/>
      <x:c r="O207" s="119"/>
      <x:c r="P207" s="119"/>
    </x:row>
    <x:row r="208">
      <x:c r="A208" s="119"/>
      <x:c r="B208" s="119"/>
      <x:c r="C208" s="119"/>
      <x:c r="D208" s="119"/>
      <x:c r="E208" s="119"/>
      <x:c r="F208" s="119"/>
      <x:c r="G208" s="119"/>
      <x:c r="H208" s="119"/>
      <x:c r="I208" s="119"/>
      <x:c r="J208" s="119"/>
      <x:c r="K208" s="119"/>
      <x:c r="L208" s="119"/>
      <x:c r="M208" s="119"/>
      <x:c r="N208" s="119"/>
      <x:c r="O208" s="119"/>
      <x:c r="P208" s="119"/>
    </x:row>
    <x:row r="209">
      <x:c r="A209" s="119"/>
      <x:c r="B209" s="119"/>
      <x:c r="C209" s="119"/>
      <x:c r="D209" s="119"/>
      <x:c r="E209" s="119"/>
      <x:c r="F209" s="119"/>
      <x:c r="G209" s="119"/>
      <x:c r="H209" s="119"/>
      <x:c r="I209" s="119"/>
      <x:c r="J209" s="119"/>
      <x:c r="K209" s="119"/>
      <x:c r="L209" s="119"/>
      <x:c r="M209" s="119"/>
      <x:c r="N209" s="119"/>
      <x:c r="O209" s="119"/>
      <x:c r="P209" s="119"/>
    </x:row>
    <x:row r="210">
      <x:c r="A210" s="119"/>
      <x:c r="B210" s="119"/>
      <x:c r="C210" s="119"/>
      <x:c r="D210" s="119"/>
      <x:c r="E210" s="119"/>
      <x:c r="F210" s="119"/>
      <x:c r="G210" s="119"/>
      <x:c r="H210" s="119"/>
      <x:c r="I210" s="119"/>
      <x:c r="J210" s="119"/>
      <x:c r="K210" s="119"/>
      <x:c r="L210" s="119"/>
      <x:c r="M210" s="119"/>
      <x:c r="N210" s="119"/>
      <x:c r="O210" s="119"/>
      <x:c r="P210" s="119"/>
    </x:row>
    <x:row r="211">
      <x:c r="A211" s="119"/>
      <x:c r="B211" s="119"/>
      <x:c r="C211" s="119"/>
      <x:c r="D211" s="119"/>
      <x:c r="E211" s="119"/>
      <x:c r="F211" s="119"/>
      <x:c r="G211" s="119"/>
      <x:c r="H211" s="119"/>
      <x:c r="I211" s="119"/>
      <x:c r="J211" s="119"/>
      <x:c r="K211" s="119"/>
      <x:c r="L211" s="119"/>
      <x:c r="M211" s="119"/>
      <x:c r="N211" s="119"/>
      <x:c r="O211" s="119"/>
      <x:c r="P211" s="119"/>
    </x:row>
    <x:row r="212">
      <x:c r="A212" s="119"/>
      <x:c r="B212" s="119"/>
      <x:c r="C212" s="119"/>
      <x:c r="D212" s="119"/>
      <x:c r="E212" s="119"/>
      <x:c r="F212" s="119"/>
      <x:c r="G212" s="119"/>
      <x:c r="H212" s="119"/>
      <x:c r="I212" s="119"/>
      <x:c r="J212" s="119"/>
      <x:c r="K212" s="119"/>
      <x:c r="L212" s="119"/>
      <x:c r="M212" s="119"/>
      <x:c r="N212" s="119"/>
      <x:c r="O212" s="119"/>
      <x:c r="P212" s="119"/>
    </x:row>
    <x:row r="213">
      <x:c r="A213" s="119"/>
      <x:c r="B213" s="119"/>
      <x:c r="C213" s="119"/>
      <x:c r="D213" s="119"/>
      <x:c r="E213" s="119"/>
      <x:c r="F213" s="119"/>
      <x:c r="G213" s="119"/>
      <x:c r="H213" s="119"/>
      <x:c r="I213" s="119"/>
      <x:c r="J213" s="119"/>
      <x:c r="K213" s="119"/>
      <x:c r="L213" s="119"/>
      <x:c r="M213" s="119"/>
      <x:c r="N213" s="119"/>
      <x:c r="O213" s="119"/>
      <x:c r="P213" s="119"/>
    </x:row>
    <x:row r="214">
      <x:c r="A214" s="119"/>
      <x:c r="B214" s="119"/>
      <x:c r="C214" s="119"/>
      <x:c r="D214" s="119"/>
      <x:c r="E214" s="119"/>
      <x:c r="F214" s="119"/>
      <x:c r="G214" s="119"/>
      <x:c r="H214" s="119"/>
      <x:c r="I214" s="119"/>
      <x:c r="J214" s="119"/>
      <x:c r="K214" s="119"/>
      <x:c r="L214" s="119"/>
      <x:c r="M214" s="119"/>
      <x:c r="N214" s="119"/>
      <x:c r="O214" s="119"/>
      <x:c r="P214" s="119"/>
    </x:row>
    <x:row r="215">
      <x:c r="A215" s="119"/>
      <x:c r="B215" s="119"/>
      <x:c r="C215" s="119"/>
      <x:c r="D215" s="119"/>
      <x:c r="E215" s="119"/>
      <x:c r="F215" s="119"/>
      <x:c r="G215" s="119"/>
      <x:c r="H215" s="119"/>
      <x:c r="I215" s="119"/>
      <x:c r="J215" s="119"/>
      <x:c r="K215" s="119"/>
      <x:c r="L215" s="119"/>
      <x:c r="M215" s="119"/>
      <x:c r="N215" s="119"/>
      <x:c r="O215" s="119"/>
      <x:c r="P215" s="119"/>
    </x:row>
    <x:row r="216">
      <x:c r="A216" s="119"/>
      <x:c r="B216" s="119"/>
      <x:c r="C216" s="119"/>
      <x:c r="D216" s="119"/>
      <x:c r="E216" s="119"/>
      <x:c r="F216" s="119"/>
      <x:c r="G216" s="119"/>
      <x:c r="H216" s="119"/>
      <x:c r="I216" s="119"/>
      <x:c r="J216" s="119"/>
      <x:c r="K216" s="119"/>
      <x:c r="L216" s="119"/>
      <x:c r="M216" s="119"/>
      <x:c r="N216" s="119"/>
      <x:c r="O216" s="119"/>
      <x:c r="P216" s="119"/>
    </x:row>
    <x:row r="217">
      <x:c r="A217" s="119"/>
      <x:c r="B217" s="119"/>
      <x:c r="C217" s="119"/>
      <x:c r="D217" s="119"/>
      <x:c r="E217" s="119"/>
      <x:c r="F217" s="119"/>
      <x:c r="G217" s="119"/>
      <x:c r="H217" s="119"/>
      <x:c r="I217" s="119"/>
      <x:c r="J217" s="119"/>
      <x:c r="K217" s="119"/>
      <x:c r="L217" s="119"/>
      <x:c r="M217" s="119"/>
      <x:c r="N217" s="119"/>
      <x:c r="O217" s="119"/>
      <x:c r="P217" s="119"/>
    </x:row>
    <x:row r="218">
      <x:c r="A218" s="119"/>
      <x:c r="B218" s="119"/>
      <x:c r="C218" s="119"/>
      <x:c r="D218" s="119"/>
      <x:c r="E218" s="119"/>
      <x:c r="F218" s="119"/>
      <x:c r="G218" s="119"/>
      <x:c r="H218" s="119"/>
      <x:c r="I218" s="119"/>
      <x:c r="J218" s="119"/>
      <x:c r="K218" s="119"/>
      <x:c r="L218" s="119"/>
      <x:c r="M218" s="119"/>
      <x:c r="N218" s="119"/>
      <x:c r="O218" s="119"/>
      <x:c r="P218" s="119"/>
    </x:row>
    <x:row r="219">
      <x:c r="A219" s="119"/>
      <x:c r="B219" s="119"/>
      <x:c r="C219" s="119"/>
      <x:c r="D219" s="119"/>
      <x:c r="E219" s="119"/>
      <x:c r="F219" s="119"/>
      <x:c r="G219" s="119"/>
      <x:c r="H219" s="119"/>
      <x:c r="I219" s="119"/>
      <x:c r="J219" s="119"/>
      <x:c r="K219" s="119"/>
      <x:c r="L219" s="119"/>
      <x:c r="M219" s="119"/>
      <x:c r="N219" s="119"/>
      <x:c r="O219" s="119"/>
      <x:c r="P219" s="119"/>
    </x:row>
    <x:row r="220">
      <x:c r="A220" s="119"/>
      <x:c r="B220" s="119"/>
      <x:c r="C220" s="119"/>
      <x:c r="D220" s="119"/>
      <x:c r="E220" s="119"/>
      <x:c r="F220" s="119"/>
      <x:c r="G220" s="119"/>
      <x:c r="H220" s="119"/>
      <x:c r="I220" s="119"/>
      <x:c r="J220" s="119"/>
      <x:c r="K220" s="119"/>
      <x:c r="L220" s="119"/>
      <x:c r="M220" s="119"/>
      <x:c r="N220" s="119"/>
      <x:c r="O220" s="119"/>
      <x:c r="P220" s="119"/>
    </x:row>
    <x:row r="221">
      <x:c r="A221" s="119"/>
      <x:c r="B221" s="119"/>
      <x:c r="C221" s="119"/>
      <x:c r="D221" s="119"/>
      <x:c r="E221" s="119"/>
      <x:c r="F221" s="119"/>
      <x:c r="G221" s="119"/>
      <x:c r="H221" s="119"/>
      <x:c r="I221" s="119"/>
      <x:c r="J221" s="119"/>
      <x:c r="K221" s="119"/>
      <x:c r="L221" s="119"/>
      <x:c r="M221" s="119"/>
      <x:c r="N221" s="119"/>
      <x:c r="O221" s="119"/>
      <x:c r="P221" s="119"/>
    </x:row>
    <x:row r="222">
      <x:c r="A222" s="119"/>
      <x:c r="B222" s="119"/>
      <x:c r="C222" s="119"/>
      <x:c r="D222" s="119"/>
      <x:c r="E222" s="119"/>
      <x:c r="F222" s="119"/>
      <x:c r="G222" s="119"/>
      <x:c r="H222" s="119"/>
      <x:c r="I222" s="119"/>
      <x:c r="J222" s="119"/>
      <x:c r="K222" s="119"/>
      <x:c r="L222" s="119"/>
      <x:c r="M222" s="119"/>
      <x:c r="N222" s="119"/>
      <x:c r="O222" s="119"/>
      <x:c r="P222" s="119"/>
    </x:row>
    <x:row r="223">
      <x:c r="A223" s="119"/>
      <x:c r="B223" s="119"/>
      <x:c r="C223" s="119"/>
      <x:c r="D223" s="119"/>
      <x:c r="E223" s="119"/>
      <x:c r="F223" s="119"/>
      <x:c r="G223" s="119"/>
      <x:c r="H223" s="119"/>
      <x:c r="I223" s="119"/>
      <x:c r="J223" s="119"/>
      <x:c r="K223" s="119"/>
      <x:c r="L223" s="119"/>
      <x:c r="M223" s="119"/>
      <x:c r="N223" s="119"/>
      <x:c r="O223" s="119"/>
      <x:c r="P223" s="119"/>
    </x:row>
    <x:row r="224">
      <x:c r="A224" s="119"/>
      <x:c r="B224" s="119"/>
      <x:c r="C224" s="119"/>
      <x:c r="D224" s="119"/>
      <x:c r="E224" s="119"/>
      <x:c r="F224" s="119"/>
      <x:c r="G224" s="119"/>
      <x:c r="H224" s="119"/>
      <x:c r="I224" s="119"/>
      <x:c r="J224" s="119"/>
      <x:c r="K224" s="119"/>
      <x:c r="L224" s="119"/>
      <x:c r="M224" s="119"/>
      <x:c r="N224" s="119"/>
      <x:c r="O224" s="119"/>
      <x:c r="P224" s="119"/>
    </x:row>
    <x:row r="225">
      <x:c r="A225" s="119"/>
      <x:c r="B225" s="119"/>
      <x:c r="C225" s="119"/>
      <x:c r="D225" s="119"/>
      <x:c r="E225" s="119"/>
      <x:c r="F225" s="119"/>
      <x:c r="G225" s="119"/>
      <x:c r="H225" s="119"/>
      <x:c r="I225" s="119"/>
      <x:c r="J225" s="119"/>
      <x:c r="K225" s="119"/>
      <x:c r="L225" s="119"/>
      <x:c r="M225" s="119"/>
      <x:c r="N225" s="119"/>
      <x:c r="O225" s="119"/>
      <x:c r="P225" s="119"/>
    </x:row>
    <x:row r="226">
      <x:c r="A226" s="119"/>
      <x:c r="B226" s="119"/>
      <x:c r="C226" s="119"/>
      <x:c r="D226" s="119"/>
      <x:c r="E226" s="119"/>
      <x:c r="F226" s="119"/>
      <x:c r="G226" s="119"/>
      <x:c r="H226" s="119"/>
      <x:c r="I226" s="119"/>
      <x:c r="J226" s="119"/>
      <x:c r="K226" s="119"/>
      <x:c r="L226" s="119"/>
      <x:c r="M226" s="119"/>
      <x:c r="N226" s="119"/>
      <x:c r="O226" s="119"/>
      <x:c r="P226" s="119"/>
    </x:row>
    <x:row r="227">
      <x:c r="A227" s="119"/>
      <x:c r="B227" s="119"/>
      <x:c r="C227" s="119"/>
      <x:c r="D227" s="119"/>
      <x:c r="E227" s="119"/>
      <x:c r="F227" s="119"/>
      <x:c r="G227" s="119"/>
      <x:c r="H227" s="119"/>
      <x:c r="I227" s="119"/>
      <x:c r="J227" s="119"/>
      <x:c r="K227" s="119"/>
      <x:c r="L227" s="119"/>
      <x:c r="M227" s="119"/>
      <x:c r="N227" s="119"/>
      <x:c r="O227" s="119"/>
      <x:c r="P227" s="119"/>
    </x:row>
    <x:row r="228">
      <x:c r="A228" s="119"/>
      <x:c r="B228" s="119"/>
      <x:c r="C228" s="119"/>
      <x:c r="D228" s="119"/>
      <x:c r="E228" s="119"/>
      <x:c r="F228" s="119"/>
      <x:c r="G228" s="119"/>
      <x:c r="H228" s="119"/>
      <x:c r="I228" s="119"/>
      <x:c r="J228" s="119"/>
      <x:c r="K228" s="119"/>
      <x:c r="L228" s="119"/>
      <x:c r="M228" s="119"/>
      <x:c r="N228" s="119"/>
      <x:c r="O228" s="119"/>
      <x:c r="P228" s="119"/>
    </x:row>
    <x:row r="229">
      <x:c r="A229" s="119"/>
      <x:c r="B229" s="119"/>
      <x:c r="C229" s="119"/>
      <x:c r="D229" s="119"/>
      <x:c r="E229" s="119"/>
      <x:c r="F229" s="119"/>
      <x:c r="G229" s="119"/>
      <x:c r="H229" s="119"/>
      <x:c r="I229" s="119"/>
      <x:c r="J229" s="119"/>
      <x:c r="K229" s="119"/>
      <x:c r="L229" s="119"/>
      <x:c r="M229" s="119"/>
      <x:c r="N229" s="119"/>
      <x:c r="O229" s="119"/>
      <x:c r="P229" s="119"/>
    </x:row>
    <x:row r="230">
      <x:c r="A230" s="119"/>
      <x:c r="B230" s="119"/>
      <x:c r="C230" s="119"/>
      <x:c r="D230" s="119"/>
      <x:c r="E230" s="119"/>
      <x:c r="F230" s="119"/>
      <x:c r="G230" s="119"/>
      <x:c r="H230" s="119"/>
      <x:c r="I230" s="119"/>
      <x:c r="J230" s="119"/>
      <x:c r="K230" s="119"/>
      <x:c r="L230" s="119"/>
      <x:c r="M230" s="119"/>
      <x:c r="N230" s="119"/>
      <x:c r="O230" s="119"/>
      <x:c r="P230" s="119"/>
    </x:row>
    <x:row r="231">
      <x:c r="A231" s="119"/>
      <x:c r="B231" s="119"/>
      <x:c r="C231" s="119"/>
      <x:c r="D231" s="119"/>
      <x:c r="E231" s="119"/>
      <x:c r="F231" s="119"/>
      <x:c r="G231" s="119"/>
      <x:c r="H231" s="119"/>
      <x:c r="I231" s="119"/>
      <x:c r="J231" s="119"/>
      <x:c r="K231" s="119"/>
      <x:c r="L231" s="119"/>
      <x:c r="M231" s="119"/>
      <x:c r="N231" s="119"/>
      <x:c r="O231" s="119"/>
      <x:c r="P231" s="119"/>
    </x:row>
    <x:row r="232">
      <x:c r="A232" s="119"/>
      <x:c r="B232" s="119"/>
      <x:c r="C232" s="119"/>
      <x:c r="D232" s="119"/>
      <x:c r="E232" s="119"/>
      <x:c r="F232" s="119"/>
      <x:c r="G232" s="119"/>
      <x:c r="H232" s="119"/>
      <x:c r="I232" s="119"/>
      <x:c r="J232" s="119"/>
      <x:c r="K232" s="119"/>
      <x:c r="L232" s="119"/>
      <x:c r="M232" s="119"/>
      <x:c r="N232" s="119"/>
      <x:c r="O232" s="119"/>
      <x:c r="P232" s="119"/>
    </x:row>
    <x:row r="233">
      <x:c r="A233" s="119"/>
      <x:c r="B233" s="119"/>
      <x:c r="C233" s="119"/>
      <x:c r="D233" s="119"/>
      <x:c r="E233" s="119"/>
      <x:c r="F233" s="119"/>
      <x:c r="G233" s="119"/>
      <x:c r="H233" s="119"/>
      <x:c r="I233" s="119"/>
      <x:c r="J233" s="119"/>
      <x:c r="K233" s="119"/>
      <x:c r="L233" s="119"/>
      <x:c r="M233" s="119"/>
      <x:c r="N233" s="119"/>
      <x:c r="O233" s="119"/>
      <x:c r="P233" s="119"/>
    </x:row>
    <x:row r="234">
      <x:c r="A234" s="119"/>
      <x:c r="B234" s="119"/>
      <x:c r="C234" s="119"/>
      <x:c r="D234" s="119"/>
      <x:c r="E234" s="119"/>
      <x:c r="F234" s="119"/>
      <x:c r="G234" s="119"/>
      <x:c r="H234" s="119"/>
      <x:c r="I234" s="119"/>
      <x:c r="J234" s="119"/>
      <x:c r="K234" s="119"/>
      <x:c r="L234" s="119"/>
      <x:c r="M234" s="119"/>
      <x:c r="N234" s="119"/>
      <x:c r="O234" s="119"/>
      <x:c r="P234" s="119"/>
    </x:row>
    <x:row r="235">
      <x:c r="A235" s="119"/>
      <x:c r="B235" s="119"/>
      <x:c r="C235" s="119"/>
      <x:c r="D235" s="119"/>
      <x:c r="E235" s="119"/>
      <x:c r="F235" s="119"/>
      <x:c r="G235" s="119"/>
      <x:c r="H235" s="119"/>
      <x:c r="I235" s="119"/>
      <x:c r="J235" s="119"/>
      <x:c r="K235" s="119"/>
      <x:c r="L235" s="119"/>
      <x:c r="M235" s="119"/>
      <x:c r="N235" s="119"/>
      <x:c r="O235" s="119"/>
      <x:c r="P235" s="119"/>
    </x:row>
    <x:row r="236">
      <x:c r="A236" s="119"/>
      <x:c r="B236" s="119"/>
      <x:c r="C236" s="119"/>
      <x:c r="D236" s="119"/>
      <x:c r="E236" s="119"/>
      <x:c r="F236" s="119"/>
      <x:c r="G236" s="119"/>
      <x:c r="H236" s="119"/>
      <x:c r="I236" s="119"/>
      <x:c r="J236" s="119"/>
      <x:c r="K236" s="119"/>
      <x:c r="L236" s="119"/>
      <x:c r="M236" s="119"/>
      <x:c r="N236" s="119"/>
      <x:c r="O236" s="119"/>
      <x:c r="P236" s="119"/>
    </x:row>
    <x:row r="237">
      <x:c r="A237" s="119"/>
      <x:c r="B237" s="119"/>
      <x:c r="C237" s="119"/>
      <x:c r="D237" s="119"/>
      <x:c r="E237" s="119"/>
      <x:c r="F237" s="119"/>
      <x:c r="G237" s="119"/>
      <x:c r="H237" s="119"/>
      <x:c r="I237" s="119"/>
      <x:c r="J237" s="119"/>
      <x:c r="K237" s="119"/>
      <x:c r="L237" s="119"/>
      <x:c r="M237" s="119"/>
      <x:c r="N237" s="119"/>
      <x:c r="O237" s="119"/>
      <x:c r="P237" s="119"/>
    </x:row>
    <x:row r="238">
      <x:c r="A238" s="119"/>
      <x:c r="B238" s="119"/>
      <x:c r="C238" s="119"/>
      <x:c r="D238" s="119"/>
      <x:c r="E238" s="119"/>
      <x:c r="F238" s="119"/>
      <x:c r="G238" s="119"/>
      <x:c r="H238" s="119"/>
      <x:c r="I238" s="119"/>
      <x:c r="J238" s="119"/>
      <x:c r="K238" s="119"/>
      <x:c r="L238" s="119"/>
      <x:c r="M238" s="119"/>
      <x:c r="N238" s="119"/>
      <x:c r="O238" s="119"/>
      <x:c r="P238" s="119"/>
    </x:row>
    <x:row r="239">
      <x:c r="A239" s="119"/>
      <x:c r="B239" s="119"/>
      <x:c r="C239" s="119"/>
      <x:c r="D239" s="119"/>
      <x:c r="E239" s="119"/>
      <x:c r="F239" s="119"/>
      <x:c r="G239" s="119"/>
      <x:c r="H239" s="119"/>
      <x:c r="I239" s="119"/>
      <x:c r="J239" s="119"/>
      <x:c r="K239" s="119"/>
      <x:c r="L239" s="119"/>
      <x:c r="M239" s="119"/>
      <x:c r="N239" s="119"/>
      <x:c r="O239" s="119"/>
      <x:c r="P239" s="119"/>
    </x:row>
    <x:row r="240">
      <x:c r="A240" s="119"/>
      <x:c r="B240" s="119"/>
      <x:c r="C240" s="119"/>
      <x:c r="D240" s="119"/>
      <x:c r="E240" s="119"/>
      <x:c r="F240" s="119"/>
      <x:c r="G240" s="119"/>
      <x:c r="H240" s="119"/>
      <x:c r="I240" s="119"/>
      <x:c r="J240" s="119"/>
      <x:c r="K240" s="119"/>
      <x:c r="L240" s="119"/>
      <x:c r="M240" s="119"/>
      <x:c r="N240" s="119"/>
      <x:c r="O240" s="119"/>
      <x:c r="P240" s="119"/>
    </x:row>
    <x:row r="241">
      <x:c r="A241" s="119"/>
      <x:c r="B241" s="119"/>
      <x:c r="C241" s="119"/>
      <x:c r="D241" s="119"/>
      <x:c r="E241" s="119"/>
      <x:c r="F241" s="119"/>
      <x:c r="G241" s="119"/>
      <x:c r="H241" s="119"/>
      <x:c r="I241" s="119"/>
      <x:c r="J241" s="119"/>
      <x:c r="K241" s="119"/>
      <x:c r="L241" s="119"/>
      <x:c r="M241" s="119"/>
      <x:c r="N241" s="119"/>
      <x:c r="O241" s="119"/>
      <x:c r="P241" s="119"/>
    </x:row>
    <x:row r="242">
      <x:c r="A242" s="119"/>
      <x:c r="B242" s="119"/>
      <x:c r="C242" s="119"/>
      <x:c r="D242" s="119"/>
      <x:c r="E242" s="119"/>
      <x:c r="F242" s="119"/>
      <x:c r="G242" s="119"/>
      <x:c r="H242" s="119"/>
      <x:c r="I242" s="119"/>
      <x:c r="J242" s="119"/>
      <x:c r="K242" s="119"/>
      <x:c r="L242" s="119"/>
      <x:c r="M242" s="119"/>
      <x:c r="N242" s="119"/>
      <x:c r="O242" s="119"/>
      <x:c r="P242" s="119"/>
    </x:row>
    <x:row r="243">
      <x:c r="A243" s="119"/>
      <x:c r="B243" s="119"/>
      <x:c r="C243" s="119"/>
      <x:c r="D243" s="119"/>
      <x:c r="E243" s="119"/>
      <x:c r="F243" s="119"/>
      <x:c r="G243" s="119"/>
      <x:c r="H243" s="119"/>
      <x:c r="I243" s="119"/>
      <x:c r="J243" s="119"/>
      <x:c r="K243" s="119"/>
      <x:c r="L243" s="119"/>
      <x:c r="M243" s="119"/>
      <x:c r="N243" s="119"/>
      <x:c r="O243" s="119"/>
      <x:c r="P243" s="119"/>
    </x:row>
    <x:row r="244">
      <x:c r="A244" s="119"/>
      <x:c r="B244" s="119"/>
      <x:c r="C244" s="119"/>
      <x:c r="D244" s="119"/>
      <x:c r="E244" s="119"/>
      <x:c r="F244" s="119"/>
      <x:c r="G244" s="119"/>
      <x:c r="H244" s="119"/>
      <x:c r="I244" s="119"/>
      <x:c r="J244" s="119"/>
      <x:c r="K244" s="119"/>
      <x:c r="L244" s="119"/>
      <x:c r="M244" s="119"/>
      <x:c r="N244" s="119"/>
      <x:c r="O244" s="119"/>
      <x:c r="P244" s="119"/>
    </x:row>
    <x:row r="245">
      <x:c r="A245" s="119"/>
      <x:c r="B245" s="119"/>
      <x:c r="C245" s="119"/>
      <x:c r="D245" s="119"/>
      <x:c r="E245" s="119"/>
      <x:c r="F245" s="119"/>
      <x:c r="G245" s="119"/>
      <x:c r="H245" s="119"/>
      <x:c r="I245" s="119"/>
      <x:c r="J245" s="119"/>
      <x:c r="K245" s="119"/>
      <x:c r="L245" s="119"/>
      <x:c r="M245" s="119"/>
      <x:c r="N245" s="119"/>
      <x:c r="O245" s="119"/>
      <x:c r="P245" s="119"/>
    </x:row>
    <x:row r="246">
      <x:c r="A246" s="119"/>
      <x:c r="B246" s="119"/>
      <x:c r="C246" s="119"/>
      <x:c r="D246" s="119"/>
      <x:c r="E246" s="119"/>
      <x:c r="F246" s="119"/>
      <x:c r="G246" s="119"/>
      <x:c r="H246" s="119"/>
      <x:c r="I246" s="119"/>
      <x:c r="J246" s="119"/>
      <x:c r="K246" s="119"/>
      <x:c r="L246" s="119"/>
      <x:c r="M246" s="119"/>
      <x:c r="N246" s="119"/>
      <x:c r="O246" s="119"/>
      <x:c r="P246" s="119"/>
    </x:row>
    <x:row r="247">
      <x:c r="A247" s="119"/>
      <x:c r="B247" s="119"/>
      <x:c r="C247" s="119"/>
      <x:c r="D247" s="119"/>
      <x:c r="E247" s="119"/>
      <x:c r="F247" s="119"/>
      <x:c r="G247" s="119"/>
      <x:c r="H247" s="119"/>
      <x:c r="I247" s="119"/>
      <x:c r="J247" s="119"/>
      <x:c r="K247" s="119"/>
      <x:c r="L247" s="119"/>
      <x:c r="M247" s="119"/>
      <x:c r="N247" s="119"/>
      <x:c r="O247" s="119"/>
      <x:c r="P247" s="119"/>
    </x:row>
    <x:row r="248">
      <x:c r="A248" s="119"/>
      <x:c r="B248" s="119"/>
      <x:c r="C248" s="119"/>
      <x:c r="D248" s="119"/>
      <x:c r="E248" s="119"/>
      <x:c r="F248" s="119"/>
      <x:c r="G248" s="119"/>
      <x:c r="H248" s="119"/>
      <x:c r="I248" s="119"/>
      <x:c r="J248" s="119"/>
      <x:c r="K248" s="119"/>
      <x:c r="L248" s="119"/>
      <x:c r="M248" s="119"/>
      <x:c r="N248" s="119"/>
      <x:c r="O248" s="119"/>
      <x:c r="P248" s="119"/>
    </x:row>
    <x:row r="249">
      <x:c r="A249" s="119"/>
      <x:c r="B249" s="119"/>
      <x:c r="C249" s="119"/>
      <x:c r="D249" s="119"/>
      <x:c r="E249" s="119"/>
      <x:c r="F249" s="119"/>
      <x:c r="G249" s="119"/>
      <x:c r="H249" s="119"/>
      <x:c r="I249" s="119"/>
      <x:c r="J249" s="119"/>
      <x:c r="K249" s="119"/>
      <x:c r="L249" s="119"/>
      <x:c r="M249" s="119"/>
      <x:c r="N249" s="119"/>
      <x:c r="O249" s="119"/>
      <x:c r="P249" s="119"/>
    </x:row>
    <x:row r="250">
      <x:c r="A250" s="119"/>
      <x:c r="B250" s="119"/>
      <x:c r="C250" s="119"/>
      <x:c r="D250" s="119"/>
      <x:c r="E250" s="119"/>
      <x:c r="F250" s="119"/>
      <x:c r="G250" s="119"/>
      <x:c r="H250" s="119"/>
      <x:c r="I250" s="119"/>
      <x:c r="J250" s="119"/>
      <x:c r="K250" s="119"/>
      <x:c r="L250" s="119"/>
      <x:c r="M250" s="119"/>
      <x:c r="N250" s="119"/>
      <x:c r="O250" s="119"/>
      <x:c r="P250" s="119"/>
    </x:row>
  </x:sheetData>
  <x:conditionalFormatting sqref="C2:C100">
    <x:cfRule type="expression" dxfId="10" priority="1">
      <x:formula>C2="Critical"</x:formula>
    </x:cfRule>
    <x:cfRule type="expression" dxfId="11" priority="2">
      <x:formula>C2="High"</x:formula>
    </x:cfRule>
    <x:cfRule type="expression" dxfId="12" priority="3">
      <x:formula>C2="Moderate"</x:formula>
    </x:cfRule>
    <x:cfRule type="expression" dxfId="13" priority="4">
      <x:formula>C2="Low"</x:formula>
    </x:cfRule>
  </x:conditionalFormatting>
  <x:pageMargins left="0.7" right="0.7" top="0.75" bottom="0.75" header="0.3" footer="0.3"/>
  <x:tableParts count="1">
    <x:tablePart xmlns:r="http://schemas.openxmlformats.org/officeDocument/2006/relationships" r:id="Rb0b8a2fd74ea4b1d"/>
  </x:tableParts>
</x:worksheet>
</file>

<file path=xl/worksheets/sheet4.xml><?xml version="1.0" encoding="utf-8"?>
<x:worksheet xmlns:x="http://schemas.openxmlformats.org/spreadsheetml/2006/main">
  <x:sheetFormatPr defaultRowHeight="15"/>
  <x:cols>
    <x:col min="1" max="1" width="10" hidden="0" customWidth="1"/>
    <x:col min="2" max="2" width="20" hidden="0" customWidth="1"/>
    <x:col min="3" max="3" width="12" hidden="0" customWidth="1"/>
    <x:col min="4" max="4" width="58" hidden="0" customWidth="1"/>
    <x:col min="5" max="5" width="31" hidden="0" customWidth="1"/>
    <x:col min="6" max="6" width="27" hidden="0" customWidth="1"/>
    <x:col min="7" max="7" width="14" hidden="0" customWidth="1"/>
    <x:col min="8" max="8" width="14" hidden="0" customWidth="1"/>
    <x:col min="9" max="9" width="54" hidden="0" customWidth="1"/>
    <x:col min="10" max="10" width="29" hidden="0" customWidth="1"/>
    <x:col min="11" max="11" width="32" hidden="0" customWidth="1"/>
  </x:cols>
  <x:sheetData>
    <x:row r="1" ht="42" customHeight="1">
      <x:c r="A1" s="11" t="str">
        <x:v>Action ID</x:v>
      </x:c>
      <x:c r="B1" s="11" t="str">
        <x:v>CSF Category</x:v>
      </x:c>
      <x:c r="C1" s="11" t="str">
        <x:v>Priority</x:v>
      </x:c>
      <x:c r="D1" s="11" t="str">
        <x:v>Remediation Action</x:v>
      </x:c>
      <x:c r="E1" s="11" t="str">
        <x:v>Primary Risk IDs</x:v>
      </x:c>
      <x:c r="F1" s="11" t="str">
        <x:v>Owner</x:v>
      </x:c>
      <x:c r="G1" s="11" t="str">
        <x:v>Target Date</x:v>
      </x:c>
      <x:c r="H1" s="11" t="str">
        <x:v>Status</x:v>
      </x:c>
      <x:c r="I1" s="11" t="str">
        <x:v>Success Measure / Evidence</x:v>
      </x:c>
      <x:c r="J1" s="11" t="str">
        <x:v>Expected Score Change</x:v>
      </x:c>
      <x:c r="K1" s="11" t="str">
        <x:v>Dependencies</x:v>
      </x:c>
      <x:c r="L1" s="119"/>
      <x:c r="M1" s="119"/>
      <x:c r="N1" s="119"/>
      <x:c r="O1" s="119"/>
      <x:c r="P1" s="119"/>
    </x:row>
    <x:row r="2">
      <x:c r="A2" s="20" t="str">
        <x:v>C-01</x:v>
      </x:c>
      <x:c r="B2" s="20" t="str">
        <x:v>PR.AA</x:v>
      </x:c>
      <x:c r="C2" s="20" t="str">
        <x:v>Critical</x:v>
      </x:c>
      <x:c r="D2" s="20" t="str">
        <x:v>Enforce MFA for all cloud/VPN accounts, disable legacy authentication and remove unjustified exceptions.</x:v>
      </x:c>
      <x:c r="E2" s="20" t="str">
        <x:v>R-02; R-03; R-13</x:v>
      </x:c>
      <x:c r="F2" s="20" t="str">
        <x:v>Systems Administrator</x:v>
      </x:c>
      <x:c r="G2" s="24" t="n">
        <x:v>46280</x:v>
      </x:c>
      <x:c r="H2" s="20" t="str">
        <x:v>In Progress</x:v>
      </x:c>
      <x:c r="I2" s="20" t="str">
        <x:v>100% interactive accounts protected; legacy auth disabled; exception register approved.</x:v>
      </x:c>
      <x:c r="J2" s="20" t="str">
        <x:v>PR.AA 1 → 3</x:v>
      </x:c>
      <x:c r="K2" s="20" t="str">
        <x:v>Entra/VPN policy changes</x:v>
      </x:c>
      <x:c r="L2" s="119"/>
      <x:c r="M2" s="119"/>
      <x:c r="N2" s="119"/>
      <x:c r="O2" s="119"/>
      <x:c r="P2" s="119"/>
    </x:row>
    <x:row r="3">
      <x:c r="A3" s="20" t="str">
        <x:v>C-02</x:v>
      </x:c>
      <x:c r="B3" s="20" t="str">
        <x:v>GV.RM</x:v>
      </x:c>
      <x:c r="C3" s="20" t="str">
        <x:v>Critical</x:v>
      </x:c>
      <x:c r="D3" s="20" t="str">
        <x:v>Approve cyber risk appetite, tolerance thresholds and quarterly enterprise risk review cadence.</x:v>
      </x:c>
      <x:c r="E3" s="20" t="str">
        <x:v>R-01 through R-22</x:v>
      </x:c>
      <x:c r="F3" s="20" t="str">
        <x:v>Executive Team / IT Manager</x:v>
      </x:c>
      <x:c r="G3" s="24" t="n">
        <x:v>46326</x:v>
      </x:c>
      <x:c r="H3" s="20" t="str">
        <x:v>In Progress</x:v>
      </x:c>
      <x:c r="I3" s="20" t="str">
        <x:v>Signed appetite statement; quarterly agenda/minutes; risk acceptance decisions recorded.</x:v>
      </x:c>
      <x:c r="J3" s="20" t="str">
        <x:v>GV.RM 3 → 4</x:v>
      </x:c>
      <x:c r="K3" s="20" t="str">
        <x:v>Executive approval</x:v>
      </x:c>
      <x:c r="L3" s="119"/>
      <x:c r="M3" s="119"/>
      <x:c r="N3" s="119"/>
      <x:c r="O3" s="119"/>
      <x:c r="P3" s="119"/>
    </x:row>
    <x:row r="4">
      <x:c r="A4" s="20" t="str">
        <x:v>C-03</x:v>
      </x:c>
      <x:c r="B4" s="20" t="str">
        <x:v>PR.AA / GV.RR</x:v>
      </x:c>
      <x:c r="C4" s="20" t="str">
        <x:v>Critical</x:v>
      </x:c>
      <x:c r="D4" s="20" t="str">
        <x:v>Implement privileged access governance, separate admin accounts, quarterly recertification and hardened admin access.</x:v>
      </x:c>
      <x:c r="E4" s="20" t="str">
        <x:v>R-04; R-20</x:v>
      </x:c>
      <x:c r="F4" s="20" t="str">
        <x:v>IT Manager</x:v>
      </x:c>
      <x:c r="G4" s="24" t="n">
        <x:v>46326</x:v>
      </x:c>
      <x:c r="H4" s="20" t="str">
        <x:v>Not Started</x:v>
      </x:c>
      <x:c r="I4" s="20" t="str">
        <x:v>All privileged accounts inventoried; review evidence; zero routine admin from general-purpose identities.</x:v>
      </x:c>
      <x:c r="J4" s="20" t="str">
        <x:v>PR.AA 1 → 3; GV.RR 2 → 3</x:v>
      </x:c>
      <x:c r="K4" s="20" t="str">
        <x:v>Endpoint configuration / staff time</x:v>
      </x:c>
      <x:c r="L4" s="119"/>
      <x:c r="M4" s="119"/>
      <x:c r="N4" s="119"/>
      <x:c r="O4" s="119"/>
      <x:c r="P4" s="119"/>
    </x:row>
    <x:row r="5">
      <x:c r="A5" s="20" t="str">
        <x:v>C-04</x:v>
      </x:c>
      <x:c r="B5" s="20" t="str">
        <x:v>PR.IR / RC.RP</x:v>
      </x:c>
      <x:c r="C5" s="20" t="str">
        <x:v>Critical</x:v>
      </x:c>
      <x:c r="D5" s="20" t="str">
        <x:v>Enable immutable/isolated backups and execute documented quarterly restoration tests.</x:v>
      </x:c>
      <x:c r="E5" s="20" t="str">
        <x:v>R-05; R-06; R-21</x:v>
      </x:c>
      <x:c r="F5" s="20" t="str">
        <x:v>Systems Administrator</x:v>
      </x:c>
      <x:c r="G5" s="24" t="n">
        <x:v>46326</x:v>
      </x:c>
      <x:c r="H5" s="20" t="str">
        <x:v>In Progress</x:v>
      </x:c>
      <x:c r="I5" s="20" t="str">
        <x:v>Immutable retention active; quarterly restore success; RTO/RPO evidence recorded.</x:v>
      </x:c>
      <x:c r="J5" s="20" t="str">
        <x:v>PR.IR 1 → 3; RC.RP 1 → 3</x:v>
      </x:c>
      <x:c r="K5" s="20" t="str">
        <x:v>Backup platform</x:v>
      </x:c>
      <x:c r="L5" s="119"/>
      <x:c r="M5" s="119"/>
      <x:c r="N5" s="119"/>
      <x:c r="O5" s="119"/>
      <x:c r="P5" s="119"/>
    </x:row>
    <x:row r="6">
      <x:c r="A6" s="20" t="str">
        <x:v>C-05</x:v>
      </x:c>
      <x:c r="B6" s="20" t="str">
        <x:v>PR.PS</x:v>
      </x:c>
      <x:c r="C6" s="20" t="str">
        <x:v>Critical</x:v>
      </x:c>
      <x:c r="D6" s="20" t="str">
        <x:v>Bring firewalls/VPN and critical endpoints to approved patch/configuration baselines; recertify firewall rules.</x:v>
      </x:c>
      <x:c r="E6" s="20" t="str">
        <x:v>R-05; R-08; R-13; R-16</x:v>
      </x:c>
      <x:c r="F6" s="20" t="str">
        <x:v>Network Admin / IT Support</x:v>
      </x:c>
      <x:c r="G6" s="24" t="n">
        <x:v>46356</x:v>
      </x:c>
      <x:c r="H6" s="20" t="str">
        <x:v>In Progress</x:v>
      </x:c>
      <x:c r="I6" s="20" t="str">
        <x:v>&gt;95% patch compliance; current firewall firmware; signed rule review; approved hardening baselines.</x:v>
      </x:c>
      <x:c r="J6" s="20" t="str">
        <x:v>PR.PS 2 → 3</x:v>
      </x:c>
      <x:c r="K6" s="20" t="str">
        <x:v>Maintenance windows</x:v>
      </x:c>
      <x:c r="L6" s="119"/>
      <x:c r="M6" s="119"/>
      <x:c r="N6" s="119"/>
      <x:c r="O6" s="119"/>
      <x:c r="P6" s="119"/>
    </x:row>
    <x:row r="7">
      <x:c r="A7" s="20" t="str">
        <x:v>C-06</x:v>
      </x:c>
      <x:c r="B7" s="20" t="str">
        <x:v>GV.SC</x:v>
      </x:c>
      <x:c r="C7" s="20" t="str">
        <x:v>High</x:v>
      </x:c>
      <x:c r="D7" s="20" t="str">
        <x:v>Establish tiered supplier security program for SaaS, RMM, MSP and telecom providers.</x:v>
      </x:c>
      <x:c r="E7" s="20" t="str">
        <x:v>R-14; R-15; R-22</x:v>
      </x:c>
      <x:c r="F7" s="20" t="str">
        <x:v>Procurement / IT Manager</x:v>
      </x:c>
      <x:c r="G7" s="24" t="n">
        <x:v>46371</x:v>
      </x:c>
      <x:c r="H7" s="20" t="str">
        <x:v>Not Started</x:v>
      </x:c>
      <x:c r="I7" s="20" t="str">
        <x:v>Critical vendor register; annual assurance review; minimum clauses; quarterly vendor access review.</x:v>
      </x:c>
      <x:c r="J7" s="20" t="str">
        <x:v>GV.SC 1 → 3</x:v>
      </x:c>
      <x:c r="K7" s="20" t="str">
        <x:v>Procurement/legal support</x:v>
      </x:c>
      <x:c r="L7" s="119"/>
      <x:c r="M7" s="119"/>
      <x:c r="N7" s="119"/>
      <x:c r="O7" s="119"/>
      <x:c r="P7" s="119"/>
    </x:row>
    <x:row r="8">
      <x:c r="A8" s="20" t="str">
        <x:v>C-07</x:v>
      </x:c>
      <x:c r="B8" s="20" t="str">
        <x:v>DE.CM / DE.AE</x:v>
      </x:c>
      <x:c r="C8" s="20" t="str">
        <x:v>High</x:v>
      </x:c>
      <x:c r="D8" s="20" t="str">
        <x:v>Centralize priority security telemetry and define detections, triage, severity and escalation ownership.</x:v>
      </x:c>
      <x:c r="E8" s="20" t="str">
        <x:v>R-02; R-04; R-05; R-14; R-18</x:v>
      </x:c>
      <x:c r="F8" s="20" t="str">
        <x:v>IT Security Analyst</x:v>
      </x:c>
      <x:c r="G8" s="24" t="n">
        <x:v>46371</x:v>
      </x:c>
      <x:c r="H8" s="20" t="str">
        <x:v>Not Started</x:v>
      </x:c>
      <x:c r="I8" s="20" t="str">
        <x:v>M365/firewall/VPN/EDR/server logs centralized; alert matrix approved; test alerts handled within SLA.</x:v>
      </x:c>
      <x:c r="J8" s="20" t="str">
        <x:v>DE.CM 1 → 3; DE.AE 1 → 3</x:v>
      </x:c>
      <x:c r="K8" s="20" t="str">
        <x:v>Log platform capacity</x:v>
      </x:c>
      <x:c r="L8" s="119"/>
      <x:c r="M8" s="119"/>
      <x:c r="N8" s="119"/>
      <x:c r="O8" s="119"/>
      <x:c r="P8" s="119"/>
    </x:row>
    <x:row r="9">
      <x:c r="A9" s="20" t="str">
        <x:v>C-08</x:v>
      </x:c>
      <x:c r="B9" s="20" t="str">
        <x:v>PR.DS</x:v>
      </x:c>
      <x:c r="C9" s="20" t="str">
        <x:v>High</x:v>
      </x:c>
      <x:c r="D9" s="20" t="str">
        <x:v>Implement cloud information-protection controls: DLP, sensitivity labels, export restrictions and external-sharing governance.</x:v>
      </x:c>
      <x:c r="E9" s="20" t="str">
        <x:v>R-09; R-10; R-11; R-19</x:v>
      </x:c>
      <x:c r="F9" s="20" t="str">
        <x:v>IT Security / Data Owners</x:v>
      </x:c>
      <x:c r="G9" s="24" t="n">
        <x:v>46371</x:v>
      </x:c>
      <x:c r="H9" s="20" t="str">
        <x:v>Not Started</x:v>
      </x:c>
      <x:c r="I9" s="20" t="str">
        <x:v>Anonymous links restricted; DLP active; bulk export alerts; quarterly share/access review evidence.</x:v>
      </x:c>
      <x:c r="J9" s="20" t="str">
        <x:v>PR.DS 1 → 3</x:v>
      </x:c>
      <x:c r="K9" s="20" t="str">
        <x:v>M365/SaaS licensing</x:v>
      </x:c>
      <x:c r="L9" s="119"/>
      <x:c r="M9" s="119"/>
      <x:c r="N9" s="119"/>
      <x:c r="O9" s="119"/>
      <x:c r="P9" s="119"/>
    </x:row>
    <x:row r="10">
      <x:c r="A10" s="20" t="str">
        <x:v>C-09</x:v>
      </x:c>
      <x:c r="B10" s="20" t="str">
        <x:v>RS.MA / RS.AN / RS.MI</x:v>
      </x:c>
      <x:c r="C10" s="20" t="str">
        <x:v>High</x:v>
      </x:c>
      <x:c r="D10" s="20" t="str">
        <x:v>Approve incident response plan and create tested BEC, ransomware, account-compromise, vendor and perimeter playbooks.</x:v>
      </x:c>
      <x:c r="E10" s="20" t="str">
        <x:v>R-01; R-02; R-05; R-13; R-14; R-18</x:v>
      </x:c>
      <x:c r="F10" s="20" t="str">
        <x:v>IT Manager / IT Security</x:v>
      </x:c>
      <x:c r="G10" s="24" t="n">
        <x:v>46371</x:v>
      </x:c>
      <x:c r="H10" s="20" t="str">
        <x:v>Not Started</x:v>
      </x:c>
      <x:c r="I10" s="20" t="str">
        <x:v>Plan approved; annual tabletop completed; playbooks available; actions and lessons tracked.</x:v>
      </x:c>
      <x:c r="J10" s="20" t="str">
        <x:v>RS.MA 2 → 3; RS.AN 1 → 3; RS.MI 2 → 3</x:v>
      </x:c>
      <x:c r="K10" s="20" t="str">
        <x:v>Executive participation</x:v>
      </x:c>
      <x:c r="L10" s="119"/>
      <x:c r="M10" s="119"/>
      <x:c r="N10" s="119"/>
      <x:c r="O10" s="119"/>
      <x:c r="P10" s="119"/>
    </x:row>
    <x:row r="11">
      <x:c r="A11" s="20" t="str">
        <x:v>C-10</x:v>
      </x:c>
      <x:c r="B11" s="20" t="str">
        <x:v>GV.PO</x:v>
      </x:c>
      <x:c r="C11" s="20" t="str">
        <x:v>High</x:v>
      </x:c>
      <x:c r="D11" s="20" t="str">
        <x:v>Create and approve minimum cybersecurity policy suite with ownership and annual review cycle.</x:v>
      </x:c>
      <x:c r="E11" s="20" t="str">
        <x:v>R-03; R-08; R-09; R-13; R-20</x:v>
      </x:c>
      <x:c r="F11" s="20" t="str">
        <x:v>IT Manager / HR</x:v>
      </x:c>
      <x:c r="G11" s="24" t="n">
        <x:v>46371</x:v>
      </x:c>
      <x:c r="H11" s="20" t="str">
        <x:v>Not Started</x:v>
      </x:c>
      <x:c r="I11" s="20" t="str">
        <x:v>Approved access, remote access, patching, backup, incident, supplier and acceptable-use policies.</x:v>
      </x:c>
      <x:c r="J11" s="20" t="str">
        <x:v>GV.PO 2 → 3</x:v>
      </x:c>
      <x:c r="K11" s="20" t="str">
        <x:v>HR / management approval</x:v>
      </x:c>
      <x:c r="L11" s="119"/>
      <x:c r="M11" s="119"/>
      <x:c r="N11" s="119"/>
      <x:c r="O11" s="119"/>
      <x:c r="P11" s="119"/>
    </x:row>
    <x:row r="12">
      <x:c r="A12" s="20" t="str">
        <x:v>C-11</x:v>
      </x:c>
      <x:c r="B12" s="20" t="str">
        <x:v>PR.AT</x:v>
      </x:c>
      <x:c r="C12" s="20" t="str">
        <x:v>High</x:v>
      </x:c>
      <x:c r="D12" s="20" t="str">
        <x:v>Launch measured security awareness program with targeted BEC, executive, admin and data-owner training.</x:v>
      </x:c>
      <x:c r="E12" s="20" t="str">
        <x:v>R-01; R-02; R-09; R-19</x:v>
      </x:c>
      <x:c r="F12" s="20" t="str">
        <x:v>HR / IT Security</x:v>
      </x:c>
      <x:c r="G12" s="24" t="n">
        <x:v>46371</x:v>
      </x:c>
      <x:c r="H12" s="20" t="str">
        <x:v>Not Started</x:v>
      </x:c>
      <x:c r="I12" s="20" t="str">
        <x:v>Annual completion &gt;95%; quarterly phishing tests; targeted role modules delivered.</x:v>
      </x:c>
      <x:c r="J12" s="20" t="str">
        <x:v>PR.AT 2 → 3</x:v>
      </x:c>
      <x:c r="K12" s="20" t="str">
        <x:v>Training platform</x:v>
      </x:c>
      <x:c r="L12" s="119"/>
      <x:c r="M12" s="119"/>
      <x:c r="N12" s="119"/>
      <x:c r="O12" s="119"/>
      <x:c r="P12" s="119"/>
    </x:row>
    <x:row r="13">
      <x:c r="A13" s="20" t="str">
        <x:v>C-12</x:v>
      </x:c>
      <x:c r="B13" s="20" t="str">
        <x:v>GV.OV</x:v>
      </x:c>
      <x:c r="C13" s="20" t="str">
        <x:v>High</x:v>
      </x:c>
      <x:c r="D13" s="20" t="str">
        <x:v>Create quarterly cyber governance dashboard and overdue-remediation/risk-acceptance review process.</x:v>
      </x:c>
      <x:c r="E13" s="20" t="str">
        <x:v>R-01 through R-22</x:v>
      </x:c>
      <x:c r="F13" s="20" t="str">
        <x:v>COO / IT Manager</x:v>
      </x:c>
      <x:c r="G13" s="24" t="n">
        <x:v>46356</x:v>
      </x:c>
      <x:c r="H13" s="20" t="str">
        <x:v>Not Started</x:v>
      </x:c>
      <x:c r="I13" s="20" t="str">
        <x:v>Quarterly management pack issued; overdue risks/actions formally reviewed; exceptions approved.</x:v>
      </x:c>
      <x:c r="J13" s="20" t="str">
        <x:v>GV.OV 2 → 3</x:v>
      </x:c>
      <x:c r="K13" s="20" t="str">
        <x:v>Risk reporting process</x:v>
      </x:c>
      <x:c r="L13" s="119"/>
      <x:c r="M13" s="119"/>
      <x:c r="N13" s="119"/>
      <x:c r="O13" s="119"/>
      <x:c r="P13" s="119"/>
    </x:row>
    <x:row r="14">
      <x:c r="A14" s="20" t="str">
        <x:v>C-13</x:v>
      </x:c>
      <x:c r="B14" s="20" t="str">
        <x:v>ID.IM</x:v>
      </x:c>
      <x:c r="C14" s="20" t="str">
        <x:v>Medium</x:v>
      </x:c>
      <x:c r="D14" s="20" t="str">
        <x:v>Create recurring control-assurance calendar and lessons-learned process.</x:v>
      </x:c>
      <x:c r="E14" s="20" t="str">
        <x:v>R-06; R-18; R-20; R-21</x:v>
      </x:c>
      <x:c r="F14" s="20" t="str">
        <x:v>IT Manager</x:v>
      </x:c>
      <x:c r="G14" s="24" t="n">
        <x:v>46387</x:v>
      </x:c>
      <x:c r="H14" s="20" t="str">
        <x:v>Not Started</x:v>
      </x:c>
      <x:c r="I14" s="20" t="str">
        <x:v>Annual calendar includes restore, tabletop, access, firewall, vendor and control tests; lessons tracked.</x:v>
      </x:c>
      <x:c r="J14" s="20" t="str">
        <x:v>ID.IM 2 → 3</x:v>
      </x:c>
      <x:c r="K14" s="20" t="str">
        <x:v>Control owners</x:v>
      </x:c>
      <x:c r="L14" s="119"/>
      <x:c r="M14" s="119"/>
      <x:c r="N14" s="119"/>
      <x:c r="O14" s="119"/>
      <x:c r="P14" s="119"/>
    </x:row>
    <x:row r="15">
      <x:c r="A15" s="20" t="str">
        <x:v>C-14</x:v>
      </x:c>
      <x:c r="B15" s="20" t="str">
        <x:v>ID.AM</x:v>
      </x:c>
      <x:c r="C15" s="20" t="str">
        <x:v>Medium</x:v>
      </x:c>
      <x:c r="D15" s="20" t="str">
        <x:v>Formalize asset inventory ownership, update triggers and quarterly reconciliation.</x:v>
      </x:c>
      <x:c r="E15" s="20" t="str">
        <x:v>R-05; R-07; R-08; R-21</x:v>
      </x:c>
      <x:c r="F15" s="20" t="str">
        <x:v>IT Manager</x:v>
      </x:c>
      <x:c r="G15" s="24" t="n">
        <x:v>46356</x:v>
      </x:c>
      <x:c r="H15" s="20" t="str">
        <x:v>In Progress</x:v>
      </x:c>
      <x:c r="I15" s="20" t="str">
        <x:v>Named custodian; quarterly reconciliation evidence; joiner/mover/technology change triggers documented.</x:v>
      </x:c>
      <x:c r="J15" s="20" t="str">
        <x:v>ID.AM 3 → 4</x:v>
      </x:c>
      <x:c r="K15" s="20" t="str">
        <x:v>Inventory sources</x:v>
      </x:c>
      <x:c r="L15" s="119"/>
      <x:c r="M15" s="119"/>
      <x:c r="N15" s="119"/>
      <x:c r="O15" s="119"/>
      <x:c r="P15" s="119"/>
    </x:row>
    <x:row r="16">
      <x:c r="A16" s="20" t="str">
        <x:v>C-15</x:v>
      </x:c>
      <x:c r="B16" s="20" t="str">
        <x:v>ID.RA</x:v>
      </x:c>
      <x:c r="C16" s="20" t="str">
        <x:v>Medium</x:v>
      </x:c>
      <x:c r="D16" s="20" t="str">
        <x:v>Add monthly vulnerability/threat review and formal risk reassessment triggers.</x:v>
      </x:c>
      <x:c r="E16" s="20" t="str">
        <x:v>R-05; R-07; R-13; R-16</x:v>
      </x:c>
      <x:c r="F16" s="20" t="str">
        <x:v>IT Security Analyst</x:v>
      </x:c>
      <x:c r="G16" s="24" t="n">
        <x:v>46356</x:v>
      </x:c>
      <x:c r="H16" s="20" t="str">
        <x:v>In Progress</x:v>
      </x:c>
      <x:c r="I16" s="20" t="str">
        <x:v>Monthly vulnerability review; risk register updated after major incidents/changes; threat inputs recorded.</x:v>
      </x:c>
      <x:c r="J16" s="20" t="str">
        <x:v>ID.RA 3 → 4</x:v>
      </x:c>
      <x:c r="K16" s="20" t="str">
        <x:v>Scanning/threat sources</x:v>
      </x:c>
      <x:c r="L16" s="119"/>
      <x:c r="M16" s="119"/>
      <x:c r="N16" s="119"/>
      <x:c r="O16" s="119"/>
      <x:c r="P16" s="119"/>
    </x:row>
    <x:row r="17">
      <x:c r="A17" s="20" t="str">
        <x:v>C-16</x:v>
      </x:c>
      <x:c r="B17" s="20" t="str">
        <x:v>RS.CO / RC.CO</x:v>
      </x:c>
      <x:c r="C17" s="20" t="str">
        <x:v>Medium</x:v>
      </x:c>
      <x:c r="D17" s="20" t="str">
        <x:v>Create incident and recovery communication matrix, stakeholder templates and contact tree.</x:v>
      </x:c>
      <x:c r="E17" s="20" t="str">
        <x:v>R-15; R-17; R-21; R-22</x:v>
      </x:c>
      <x:c r="F17" s="20" t="str">
        <x:v>COO / IT Manager</x:v>
      </x:c>
      <x:c r="G17" s="24" t="n">
        <x:v>46387</x:v>
      </x:c>
      <x:c r="H17" s="20" t="str">
        <x:v>Not Started</x:v>
      </x:c>
      <x:c r="I17" s="20" t="str">
        <x:v>Approved contact matrix; internal/vendor/customer templates; recovery update cadence tested.</x:v>
      </x:c>
      <x:c r="J17" s="20" t="str">
        <x:v>RS.CO 2 → 3; RC.CO 1 → 3</x:v>
      </x:c>
      <x:c r="K17" s="20" t="str">
        <x:v>Communications input</x:v>
      </x:c>
      <x:c r="L17" s="119"/>
      <x:c r="M17" s="119"/>
      <x:c r="N17" s="119"/>
      <x:c r="O17" s="119"/>
      <x:c r="P17" s="119"/>
    </x:row>
    <x:row r="18">
      <x:c r="A18" s="20" t="str">
        <x:v>C-17</x:v>
      </x:c>
      <x:c r="B18" s="20" t="str">
        <x:v>PR.PS / ID.IM</x:v>
      </x:c>
      <x:c r="C18" s="20" t="str">
        <x:v>High</x:v>
      </x:c>
      <x:c r="D18" s="20" t="str">
        <x:v>Isolate and migrate/decommission legacy AD/file services and remove obsolete protocols/accounts.</x:v>
      </x:c>
      <x:c r="E18" s="20" t="str">
        <x:v>R-05; R-07</x:v>
      </x:c>
      <x:c r="F18" s="20" t="str">
        <x:v>Systems Administrator</x:v>
      </x:c>
      <x:c r="G18" s="24" t="n">
        <x:v>46371</x:v>
      </x:c>
      <x:c r="H18" s="20" t="str">
        <x:v>Not Started</x:v>
      </x:c>
      <x:c r="I18" s="20" t="str">
        <x:v>Approved roadmap; legacy VLAN isolation; obsolete accounts/protocols removed; migration milestones tracked.</x:v>
      </x:c>
      <x:c r="J18" s="20" t="str">
        <x:v>PR.PS 2 → 3; ID.IM 2 → 3</x:v>
      </x:c>
      <x:c r="K18" s="20" t="str">
        <x:v>Business migration</x:v>
      </x:c>
      <x:c r="L18" s="119"/>
      <x:c r="M18" s="119"/>
      <x:c r="N18" s="119"/>
      <x:c r="O18" s="119"/>
      <x:c r="P18" s="119"/>
    </x:row>
    <x:row r="19">
      <x:c r="A19" s="20" t="str">
        <x:v>C-18</x:v>
      </x:c>
      <x:c r="B19" s="20" t="str">
        <x:v>PR.IR</x:v>
      </x:c>
      <x:c r="C19" s="20" t="str">
        <x:v>Medium</x:v>
      </x:c>
      <x:c r="D19" s="20" t="str">
        <x:v>Strengthen primary-site connectivity and infrastructure resilience.</x:v>
      </x:c>
      <x:c r="E19" s="20" t="str">
        <x:v>R-21; R-22</x:v>
      </x:c>
      <x:c r="F19" s="20" t="str">
        <x:v>COO / IT Manager</x:v>
      </x:c>
      <x:c r="G19" s="24" t="n">
        <x:v>46387</x:v>
      </x:c>
      <x:c r="H19" s="20" t="str">
        <x:v>Not Started</x:v>
      </x:c>
      <x:c r="I19" s="20" t="str">
        <x:v>Secondary diverse-path connectivity tested; virtualization recovery/replacement procedure validated.</x:v>
      </x:c>
      <x:c r="J19" s="20" t="str">
        <x:v>PR.IR 1 → 3</x:v>
      </x:c>
      <x:c r="K19" s="20" t="str">
        <x:v>Budget / provider procurement</x:v>
      </x:c>
      <x:c r="L19" s="119"/>
      <x:c r="M19" s="119"/>
      <x:c r="N19" s="119"/>
      <x:c r="O19" s="119"/>
      <x:c r="P19" s="119"/>
    </x:row>
    <x:row r="20">
      <x:c r="A20" s="119"/>
      <x:c r="B20" s="119"/>
      <x:c r="C20" s="119"/>
      <x:c r="D20" s="119"/>
      <x:c r="E20" s="119"/>
      <x:c r="F20" s="119"/>
      <x:c r="G20" s="157"/>
      <x:c r="H20" s="119"/>
      <x:c r="I20" s="119"/>
      <x:c r="J20" s="119"/>
      <x:c r="K20" s="119"/>
      <x:c r="L20" s="119"/>
      <x:c r="M20" s="119"/>
      <x:c r="N20" s="119"/>
      <x:c r="O20" s="119"/>
      <x:c r="P20" s="119"/>
    </x:row>
    <x:row r="21">
      <x:c r="A21" s="119"/>
      <x:c r="B21" s="119"/>
      <x:c r="C21" s="119"/>
      <x:c r="D21" s="119"/>
      <x:c r="E21" s="119"/>
      <x:c r="F21" s="119"/>
      <x:c r="G21" s="157"/>
      <x:c r="H21" s="119"/>
      <x:c r="I21" s="119"/>
      <x:c r="J21" s="119"/>
      <x:c r="K21" s="119"/>
      <x:c r="L21" s="119"/>
      <x:c r="M21" s="119"/>
      <x:c r="N21" s="119"/>
      <x:c r="O21" s="119"/>
      <x:c r="P21" s="119"/>
    </x:row>
    <x:row r="22">
      <x:c r="A22" s="119"/>
      <x:c r="B22" s="119"/>
      <x:c r="C22" s="119"/>
      <x:c r="D22" s="119"/>
      <x:c r="E22" s="119"/>
      <x:c r="F22" s="119"/>
      <x:c r="G22" s="157"/>
      <x:c r="H22" s="119"/>
      <x:c r="I22" s="119"/>
      <x:c r="J22" s="119"/>
      <x:c r="K22" s="119"/>
      <x:c r="L22" s="119"/>
      <x:c r="M22" s="119"/>
      <x:c r="N22" s="119"/>
      <x:c r="O22" s="119"/>
      <x:c r="P22" s="119"/>
    </x:row>
    <x:row r="23">
      <x:c r="A23" s="119"/>
      <x:c r="B23" s="119"/>
      <x:c r="C23" s="119"/>
      <x:c r="D23" s="119"/>
      <x:c r="E23" s="119"/>
      <x:c r="F23" s="119"/>
      <x:c r="G23" s="157"/>
      <x:c r="H23" s="119"/>
      <x:c r="I23" s="119"/>
      <x:c r="J23" s="119"/>
      <x:c r="K23" s="119"/>
      <x:c r="L23" s="119"/>
      <x:c r="M23" s="119"/>
      <x:c r="N23" s="119"/>
      <x:c r="O23" s="119"/>
      <x:c r="P23" s="119"/>
    </x:row>
    <x:row r="24">
      <x:c r="A24" s="119"/>
      <x:c r="B24" s="119"/>
      <x:c r="C24" s="119"/>
      <x:c r="D24" s="119"/>
      <x:c r="E24" s="119"/>
      <x:c r="F24" s="119"/>
      <x:c r="G24" s="157"/>
      <x:c r="H24" s="119"/>
      <x:c r="I24" s="119"/>
      <x:c r="J24" s="119"/>
      <x:c r="K24" s="119"/>
      <x:c r="L24" s="119"/>
      <x:c r="M24" s="119"/>
      <x:c r="N24" s="119"/>
      <x:c r="O24" s="119"/>
      <x:c r="P24" s="119"/>
    </x:row>
    <x:row r="25">
      <x:c r="A25" s="119"/>
      <x:c r="B25" s="119"/>
      <x:c r="C25" s="119"/>
      <x:c r="D25" s="119"/>
      <x:c r="E25" s="119"/>
      <x:c r="F25" s="119"/>
      <x:c r="G25" s="157"/>
      <x:c r="H25" s="119"/>
      <x:c r="I25" s="119"/>
      <x:c r="J25" s="119"/>
      <x:c r="K25" s="119"/>
      <x:c r="L25" s="119"/>
      <x:c r="M25" s="119"/>
      <x:c r="N25" s="119"/>
      <x:c r="O25" s="119"/>
      <x:c r="P25" s="119"/>
    </x:row>
    <x:row r="26">
      <x:c r="A26" s="119"/>
      <x:c r="B26" s="119"/>
      <x:c r="C26" s="119"/>
      <x:c r="D26" s="119"/>
      <x:c r="E26" s="119"/>
      <x:c r="F26" s="119"/>
      <x:c r="G26" s="157"/>
      <x:c r="H26" s="119"/>
      <x:c r="I26" s="119"/>
      <x:c r="J26" s="119"/>
      <x:c r="K26" s="119"/>
      <x:c r="L26" s="119"/>
      <x:c r="M26" s="119"/>
      <x:c r="N26" s="119"/>
      <x:c r="O26" s="119"/>
      <x:c r="P26" s="119"/>
    </x:row>
    <x:row r="27">
      <x:c r="A27" s="119"/>
      <x:c r="B27" s="119"/>
      <x:c r="C27" s="119"/>
      <x:c r="D27" s="119"/>
      <x:c r="E27" s="119"/>
      <x:c r="F27" s="119"/>
      <x:c r="G27" s="157"/>
      <x:c r="H27" s="119"/>
      <x:c r="I27" s="119"/>
      <x:c r="J27" s="119"/>
      <x:c r="K27" s="119"/>
      <x:c r="L27" s="119"/>
      <x:c r="M27" s="119"/>
      <x:c r="N27" s="119"/>
      <x:c r="O27" s="119"/>
      <x:c r="P27" s="119"/>
    </x:row>
    <x:row r="28">
      <x:c r="A28" s="119"/>
      <x:c r="B28" s="119"/>
      <x:c r="C28" s="119"/>
      <x:c r="D28" s="119"/>
      <x:c r="E28" s="119"/>
      <x:c r="F28" s="119"/>
      <x:c r="G28" s="157"/>
      <x:c r="H28" s="119"/>
      <x:c r="I28" s="119"/>
      <x:c r="J28" s="119"/>
      <x:c r="K28" s="119"/>
      <x:c r="L28" s="119"/>
      <x:c r="M28" s="119"/>
      <x:c r="N28" s="119"/>
      <x:c r="O28" s="119"/>
      <x:c r="P28" s="119"/>
    </x:row>
    <x:row r="29">
      <x:c r="A29" s="119"/>
      <x:c r="B29" s="119"/>
      <x:c r="C29" s="119"/>
      <x:c r="D29" s="119"/>
      <x:c r="E29" s="119"/>
      <x:c r="F29" s="119"/>
      <x:c r="G29" s="157"/>
      <x:c r="H29" s="119"/>
      <x:c r="I29" s="119"/>
      <x:c r="J29" s="119"/>
      <x:c r="K29" s="119"/>
      <x:c r="L29" s="119"/>
      <x:c r="M29" s="119"/>
      <x:c r="N29" s="119"/>
      <x:c r="O29" s="119"/>
      <x:c r="P29" s="119"/>
    </x:row>
    <x:row r="30">
      <x:c r="A30" s="119"/>
      <x:c r="B30" s="119"/>
      <x:c r="C30" s="119"/>
      <x:c r="D30" s="119"/>
      <x:c r="E30" s="119"/>
      <x:c r="F30" s="119"/>
      <x:c r="G30" s="157"/>
      <x:c r="H30" s="119"/>
      <x:c r="I30" s="119"/>
      <x:c r="J30" s="119"/>
      <x:c r="K30" s="119"/>
      <x:c r="L30" s="119"/>
      <x:c r="M30" s="119"/>
      <x:c r="N30" s="119"/>
      <x:c r="O30" s="119"/>
      <x:c r="P30" s="119"/>
    </x:row>
    <x:row r="31">
      <x:c r="A31" s="119"/>
      <x:c r="B31" s="119"/>
      <x:c r="C31" s="119"/>
      <x:c r="D31" s="119"/>
      <x:c r="E31" s="119"/>
      <x:c r="F31" s="119"/>
      <x:c r="G31" s="157"/>
      <x:c r="H31" s="119"/>
      <x:c r="I31" s="119"/>
      <x:c r="J31" s="119"/>
      <x:c r="K31" s="119"/>
      <x:c r="L31" s="119"/>
      <x:c r="M31" s="119"/>
      <x:c r="N31" s="119"/>
      <x:c r="O31" s="119"/>
      <x:c r="P31" s="119"/>
    </x:row>
    <x:row r="32">
      <x:c r="A32" s="119"/>
      <x:c r="B32" s="119"/>
      <x:c r="C32" s="119"/>
      <x:c r="D32" s="119"/>
      <x:c r="E32" s="119"/>
      <x:c r="F32" s="119"/>
      <x:c r="G32" s="157"/>
      <x:c r="H32" s="119"/>
      <x:c r="I32" s="119"/>
      <x:c r="J32" s="119"/>
      <x:c r="K32" s="119"/>
      <x:c r="L32" s="119"/>
      <x:c r="M32" s="119"/>
      <x:c r="N32" s="119"/>
      <x:c r="O32" s="119"/>
      <x:c r="P32" s="119"/>
    </x:row>
    <x:row r="33">
      <x:c r="A33" s="119"/>
      <x:c r="B33" s="119"/>
      <x:c r="C33" s="119"/>
      <x:c r="D33" s="119"/>
      <x:c r="E33" s="119"/>
      <x:c r="F33" s="119"/>
      <x:c r="G33" s="157"/>
      <x:c r="H33" s="119"/>
      <x:c r="I33" s="119"/>
      <x:c r="J33" s="119"/>
      <x:c r="K33" s="119"/>
      <x:c r="L33" s="119"/>
      <x:c r="M33" s="119"/>
      <x:c r="N33" s="119"/>
      <x:c r="O33" s="119"/>
      <x:c r="P33" s="119"/>
    </x:row>
    <x:row r="34">
      <x:c r="A34" s="119"/>
      <x:c r="B34" s="119"/>
      <x:c r="C34" s="119"/>
      <x:c r="D34" s="119"/>
      <x:c r="E34" s="119"/>
      <x:c r="F34" s="119"/>
      <x:c r="G34" s="157"/>
      <x:c r="H34" s="119"/>
      <x:c r="I34" s="119"/>
      <x:c r="J34" s="119"/>
      <x:c r="K34" s="119"/>
      <x:c r="L34" s="119"/>
      <x:c r="M34" s="119"/>
      <x:c r="N34" s="119"/>
      <x:c r="O34" s="119"/>
      <x:c r="P34" s="119"/>
    </x:row>
    <x:row r="35">
      <x:c r="A35" s="119"/>
      <x:c r="B35" s="119"/>
      <x:c r="C35" s="119"/>
      <x:c r="D35" s="119"/>
      <x:c r="E35" s="119"/>
      <x:c r="F35" s="119"/>
      <x:c r="G35" s="157"/>
      <x:c r="H35" s="119"/>
      <x:c r="I35" s="119"/>
      <x:c r="J35" s="119"/>
      <x:c r="K35" s="119"/>
      <x:c r="L35" s="119"/>
      <x:c r="M35" s="119"/>
      <x:c r="N35" s="119"/>
      <x:c r="O35" s="119"/>
      <x:c r="P35" s="119"/>
    </x:row>
    <x:row r="36">
      <x:c r="A36" s="119"/>
      <x:c r="B36" s="119"/>
      <x:c r="C36" s="119"/>
      <x:c r="D36" s="119"/>
      <x:c r="E36" s="119"/>
      <x:c r="F36" s="119"/>
      <x:c r="G36" s="157"/>
      <x:c r="H36" s="119"/>
      <x:c r="I36" s="119"/>
      <x:c r="J36" s="119"/>
      <x:c r="K36" s="119"/>
      <x:c r="L36" s="119"/>
      <x:c r="M36" s="119"/>
      <x:c r="N36" s="119"/>
      <x:c r="O36" s="119"/>
      <x:c r="P36" s="119"/>
    </x:row>
    <x:row r="37">
      <x:c r="A37" s="119"/>
      <x:c r="B37" s="119"/>
      <x:c r="C37" s="119"/>
      <x:c r="D37" s="119"/>
      <x:c r="E37" s="119"/>
      <x:c r="F37" s="119"/>
      <x:c r="G37" s="157"/>
      <x:c r="H37" s="119"/>
      <x:c r="I37" s="119"/>
      <x:c r="J37" s="119"/>
      <x:c r="K37" s="119"/>
      <x:c r="L37" s="119"/>
      <x:c r="M37" s="119"/>
      <x:c r="N37" s="119"/>
      <x:c r="O37" s="119"/>
      <x:c r="P37" s="119"/>
    </x:row>
    <x:row r="38">
      <x:c r="A38" s="119"/>
      <x:c r="B38" s="119"/>
      <x:c r="C38" s="119"/>
      <x:c r="D38" s="119"/>
      <x:c r="E38" s="119"/>
      <x:c r="F38" s="119"/>
      <x:c r="G38" s="157"/>
      <x:c r="H38" s="119"/>
      <x:c r="I38" s="119"/>
      <x:c r="J38" s="119"/>
      <x:c r="K38" s="119"/>
      <x:c r="L38" s="119"/>
      <x:c r="M38" s="119"/>
      <x:c r="N38" s="119"/>
      <x:c r="O38" s="119"/>
      <x:c r="P38" s="119"/>
    </x:row>
    <x:row r="39">
      <x:c r="A39" s="119"/>
      <x:c r="B39" s="119"/>
      <x:c r="C39" s="119"/>
      <x:c r="D39" s="119"/>
      <x:c r="E39" s="119"/>
      <x:c r="F39" s="119"/>
      <x:c r="G39" s="157"/>
      <x:c r="H39" s="119"/>
      <x:c r="I39" s="119"/>
      <x:c r="J39" s="119"/>
      <x:c r="K39" s="119"/>
      <x:c r="L39" s="119"/>
      <x:c r="M39" s="119"/>
      <x:c r="N39" s="119"/>
      <x:c r="O39" s="119"/>
      <x:c r="P39" s="119"/>
    </x:row>
    <x:row r="40">
      <x:c r="A40" s="119"/>
      <x:c r="B40" s="119"/>
      <x:c r="C40" s="119"/>
      <x:c r="D40" s="119"/>
      <x:c r="E40" s="119"/>
      <x:c r="F40" s="119"/>
      <x:c r="G40" s="157"/>
      <x:c r="H40" s="119"/>
      <x:c r="I40" s="119"/>
      <x:c r="J40" s="119"/>
      <x:c r="K40" s="119"/>
      <x:c r="L40" s="119"/>
      <x:c r="M40" s="119"/>
      <x:c r="N40" s="119"/>
      <x:c r="O40" s="119"/>
      <x:c r="P40" s="119"/>
    </x:row>
    <x:row r="41">
      <x:c r="A41" s="119"/>
      <x:c r="B41" s="119"/>
      <x:c r="C41" s="119"/>
      <x:c r="D41" s="119"/>
      <x:c r="E41" s="119"/>
      <x:c r="F41" s="119"/>
      <x:c r="G41" s="157"/>
      <x:c r="H41" s="119"/>
      <x:c r="I41" s="119"/>
      <x:c r="J41" s="119"/>
      <x:c r="K41" s="119"/>
      <x:c r="L41" s="119"/>
      <x:c r="M41" s="119"/>
      <x:c r="N41" s="119"/>
      <x:c r="O41" s="119"/>
      <x:c r="P41" s="119"/>
    </x:row>
    <x:row r="42">
      <x:c r="A42" s="119"/>
      <x:c r="B42" s="119"/>
      <x:c r="C42" s="119"/>
      <x:c r="D42" s="119"/>
      <x:c r="E42" s="119"/>
      <x:c r="F42" s="119"/>
      <x:c r="G42" s="157"/>
      <x:c r="H42" s="119"/>
      <x:c r="I42" s="119"/>
      <x:c r="J42" s="119"/>
      <x:c r="K42" s="119"/>
      <x:c r="L42" s="119"/>
      <x:c r="M42" s="119"/>
      <x:c r="N42" s="119"/>
      <x:c r="O42" s="119"/>
      <x:c r="P42" s="119"/>
    </x:row>
    <x:row r="43">
      <x:c r="A43" s="119"/>
      <x:c r="B43" s="119"/>
      <x:c r="C43" s="119"/>
      <x:c r="D43" s="119"/>
      <x:c r="E43" s="119"/>
      <x:c r="F43" s="119"/>
      <x:c r="G43" s="157"/>
      <x:c r="H43" s="119"/>
      <x:c r="I43" s="119"/>
      <x:c r="J43" s="119"/>
      <x:c r="K43" s="119"/>
      <x:c r="L43" s="119"/>
      <x:c r="M43" s="119"/>
      <x:c r="N43" s="119"/>
      <x:c r="O43" s="119"/>
      <x:c r="P43" s="119"/>
    </x:row>
    <x:row r="44">
      <x:c r="A44" s="119"/>
      <x:c r="B44" s="119"/>
      <x:c r="C44" s="119"/>
      <x:c r="D44" s="119"/>
      <x:c r="E44" s="119"/>
      <x:c r="F44" s="119"/>
      <x:c r="G44" s="157"/>
      <x:c r="H44" s="119"/>
      <x:c r="I44" s="119"/>
      <x:c r="J44" s="119"/>
      <x:c r="K44" s="119"/>
      <x:c r="L44" s="119"/>
      <x:c r="M44" s="119"/>
      <x:c r="N44" s="119"/>
      <x:c r="O44" s="119"/>
      <x:c r="P44" s="119"/>
    </x:row>
    <x:row r="45">
      <x:c r="A45" s="119"/>
      <x:c r="B45" s="119"/>
      <x:c r="C45" s="119"/>
      <x:c r="D45" s="119"/>
      <x:c r="E45" s="119"/>
      <x:c r="F45" s="119"/>
      <x:c r="G45" s="157"/>
      <x:c r="H45" s="119"/>
      <x:c r="I45" s="119"/>
      <x:c r="J45" s="119"/>
      <x:c r="K45" s="119"/>
      <x:c r="L45" s="119"/>
      <x:c r="M45" s="119"/>
      <x:c r="N45" s="119"/>
      <x:c r="O45" s="119"/>
      <x:c r="P45" s="119"/>
    </x:row>
    <x:row r="46">
      <x:c r="A46" s="119"/>
      <x:c r="B46" s="119"/>
      <x:c r="C46" s="119"/>
      <x:c r="D46" s="119"/>
      <x:c r="E46" s="119"/>
      <x:c r="F46" s="119"/>
      <x:c r="G46" s="157"/>
      <x:c r="H46" s="119"/>
      <x:c r="I46" s="119"/>
      <x:c r="J46" s="119"/>
      <x:c r="K46" s="119"/>
      <x:c r="L46" s="119"/>
      <x:c r="M46" s="119"/>
      <x:c r="N46" s="119"/>
      <x:c r="O46" s="119"/>
      <x:c r="P46" s="119"/>
    </x:row>
    <x:row r="47">
      <x:c r="A47" s="119"/>
      <x:c r="B47" s="119"/>
      <x:c r="C47" s="119"/>
      <x:c r="D47" s="119"/>
      <x:c r="E47" s="119"/>
      <x:c r="F47" s="119"/>
      <x:c r="G47" s="157"/>
      <x:c r="H47" s="119"/>
      <x:c r="I47" s="119"/>
      <x:c r="J47" s="119"/>
      <x:c r="K47" s="119"/>
      <x:c r="L47" s="119"/>
      <x:c r="M47" s="119"/>
      <x:c r="N47" s="119"/>
      <x:c r="O47" s="119"/>
      <x:c r="P47" s="119"/>
    </x:row>
    <x:row r="48">
      <x:c r="A48" s="119"/>
      <x:c r="B48" s="119"/>
      <x:c r="C48" s="119"/>
      <x:c r="D48" s="119"/>
      <x:c r="E48" s="119"/>
      <x:c r="F48" s="119"/>
      <x:c r="G48" s="157"/>
      <x:c r="H48" s="119"/>
      <x:c r="I48" s="119"/>
      <x:c r="J48" s="119"/>
      <x:c r="K48" s="119"/>
      <x:c r="L48" s="119"/>
      <x:c r="M48" s="119"/>
      <x:c r="N48" s="119"/>
      <x:c r="O48" s="119"/>
      <x:c r="P48" s="119"/>
    </x:row>
    <x:row r="49">
      <x:c r="A49" s="119"/>
      <x:c r="B49" s="119"/>
      <x:c r="C49" s="119"/>
      <x:c r="D49" s="119"/>
      <x:c r="E49" s="119"/>
      <x:c r="F49" s="119"/>
      <x:c r="G49" s="157"/>
      <x:c r="H49" s="119"/>
      <x:c r="I49" s="119"/>
      <x:c r="J49" s="119"/>
      <x:c r="K49" s="119"/>
      <x:c r="L49" s="119"/>
      <x:c r="M49" s="119"/>
      <x:c r="N49" s="119"/>
      <x:c r="O49" s="119"/>
      <x:c r="P49" s="119"/>
    </x:row>
    <x:row r="50">
      <x:c r="A50" s="119"/>
      <x:c r="B50" s="119"/>
      <x:c r="C50" s="119"/>
      <x:c r="D50" s="119"/>
      <x:c r="E50" s="119"/>
      <x:c r="F50" s="119"/>
      <x:c r="G50" s="157"/>
      <x:c r="H50" s="119"/>
      <x:c r="I50" s="119"/>
      <x:c r="J50" s="119"/>
      <x:c r="K50" s="119"/>
      <x:c r="L50" s="119"/>
      <x:c r="M50" s="119"/>
      <x:c r="N50" s="119"/>
      <x:c r="O50" s="119"/>
      <x:c r="P50" s="119"/>
    </x:row>
    <x:row r="51">
      <x:c r="A51" s="119"/>
      <x:c r="B51" s="119"/>
      <x:c r="C51" s="119"/>
      <x:c r="D51" s="119"/>
      <x:c r="E51" s="119"/>
      <x:c r="F51" s="119"/>
      <x:c r="G51" s="157"/>
      <x:c r="H51" s="119"/>
      <x:c r="I51" s="119"/>
      <x:c r="J51" s="119"/>
      <x:c r="K51" s="119"/>
      <x:c r="L51" s="119"/>
      <x:c r="M51" s="119"/>
      <x:c r="N51" s="119"/>
      <x:c r="O51" s="119"/>
      <x:c r="P51" s="119"/>
    </x:row>
    <x:row r="52">
      <x:c r="A52" s="119"/>
      <x:c r="B52" s="119"/>
      <x:c r="C52" s="119"/>
      <x:c r="D52" s="119"/>
      <x:c r="E52" s="119"/>
      <x:c r="F52" s="119"/>
      <x:c r="G52" s="157"/>
      <x:c r="H52" s="119"/>
      <x:c r="I52" s="119"/>
      <x:c r="J52" s="119"/>
      <x:c r="K52" s="119"/>
      <x:c r="L52" s="119"/>
      <x:c r="M52" s="119"/>
      <x:c r="N52" s="119"/>
      <x:c r="O52" s="119"/>
      <x:c r="P52" s="119"/>
    </x:row>
    <x:row r="53">
      <x:c r="A53" s="119"/>
      <x:c r="B53" s="119"/>
      <x:c r="C53" s="119"/>
      <x:c r="D53" s="119"/>
      <x:c r="E53" s="119"/>
      <x:c r="F53" s="119"/>
      <x:c r="G53" s="157"/>
      <x:c r="H53" s="119"/>
      <x:c r="I53" s="119"/>
      <x:c r="J53" s="119"/>
      <x:c r="K53" s="119"/>
      <x:c r="L53" s="119"/>
      <x:c r="M53" s="119"/>
      <x:c r="N53" s="119"/>
      <x:c r="O53" s="119"/>
      <x:c r="P53" s="119"/>
    </x:row>
    <x:row r="54">
      <x:c r="A54" s="119"/>
      <x:c r="B54" s="119"/>
      <x:c r="C54" s="119"/>
      <x:c r="D54" s="119"/>
      <x:c r="E54" s="119"/>
      <x:c r="F54" s="119"/>
      <x:c r="G54" s="157"/>
      <x:c r="H54" s="119"/>
      <x:c r="I54" s="119"/>
      <x:c r="J54" s="119"/>
      <x:c r="K54" s="119"/>
      <x:c r="L54" s="119"/>
      <x:c r="M54" s="119"/>
      <x:c r="N54" s="119"/>
      <x:c r="O54" s="119"/>
      <x:c r="P54" s="119"/>
    </x:row>
    <x:row r="55">
      <x:c r="A55" s="119"/>
      <x:c r="B55" s="119"/>
      <x:c r="C55" s="119"/>
      <x:c r="D55" s="119"/>
      <x:c r="E55" s="119"/>
      <x:c r="F55" s="119"/>
      <x:c r="G55" s="157"/>
      <x:c r="H55" s="119"/>
      <x:c r="I55" s="119"/>
      <x:c r="J55" s="119"/>
      <x:c r="K55" s="119"/>
      <x:c r="L55" s="119"/>
      <x:c r="M55" s="119"/>
      <x:c r="N55" s="119"/>
      <x:c r="O55" s="119"/>
      <x:c r="P55" s="119"/>
    </x:row>
    <x:row r="56">
      <x:c r="A56" s="119"/>
      <x:c r="B56" s="119"/>
      <x:c r="C56" s="119"/>
      <x:c r="D56" s="119"/>
      <x:c r="E56" s="119"/>
      <x:c r="F56" s="119"/>
      <x:c r="G56" s="157"/>
      <x:c r="H56" s="119"/>
      <x:c r="I56" s="119"/>
      <x:c r="J56" s="119"/>
      <x:c r="K56" s="119"/>
      <x:c r="L56" s="119"/>
      <x:c r="M56" s="119"/>
      <x:c r="N56" s="119"/>
      <x:c r="O56" s="119"/>
      <x:c r="P56" s="119"/>
    </x:row>
    <x:row r="57">
      <x:c r="A57" s="119"/>
      <x:c r="B57" s="119"/>
      <x:c r="C57" s="119"/>
      <x:c r="D57" s="119"/>
      <x:c r="E57" s="119"/>
      <x:c r="F57" s="119"/>
      <x:c r="G57" s="157"/>
      <x:c r="H57" s="119"/>
      <x:c r="I57" s="119"/>
      <x:c r="J57" s="119"/>
      <x:c r="K57" s="119"/>
      <x:c r="L57" s="119"/>
      <x:c r="M57" s="119"/>
      <x:c r="N57" s="119"/>
      <x:c r="O57" s="119"/>
      <x:c r="P57" s="119"/>
    </x:row>
    <x:row r="58">
      <x:c r="A58" s="119"/>
      <x:c r="B58" s="119"/>
      <x:c r="C58" s="119"/>
      <x:c r="D58" s="119"/>
      <x:c r="E58" s="119"/>
      <x:c r="F58" s="119"/>
      <x:c r="G58" s="157"/>
      <x:c r="H58" s="119"/>
      <x:c r="I58" s="119"/>
      <x:c r="J58" s="119"/>
      <x:c r="K58" s="119"/>
      <x:c r="L58" s="119"/>
      <x:c r="M58" s="119"/>
      <x:c r="N58" s="119"/>
      <x:c r="O58" s="119"/>
      <x:c r="P58" s="119"/>
    </x:row>
    <x:row r="59">
      <x:c r="A59" s="119"/>
      <x:c r="B59" s="119"/>
      <x:c r="C59" s="119"/>
      <x:c r="D59" s="119"/>
      <x:c r="E59" s="119"/>
      <x:c r="F59" s="119"/>
      <x:c r="G59" s="157"/>
      <x:c r="H59" s="119"/>
      <x:c r="I59" s="119"/>
      <x:c r="J59" s="119"/>
      <x:c r="K59" s="119"/>
      <x:c r="L59" s="119"/>
      <x:c r="M59" s="119"/>
      <x:c r="N59" s="119"/>
      <x:c r="O59" s="119"/>
      <x:c r="P59" s="119"/>
    </x:row>
    <x:row r="60">
      <x:c r="A60" s="119"/>
      <x:c r="B60" s="119"/>
      <x:c r="C60" s="119"/>
      <x:c r="D60" s="119"/>
      <x:c r="E60" s="119"/>
      <x:c r="F60" s="119"/>
      <x:c r="G60" s="157"/>
      <x:c r="H60" s="119"/>
      <x:c r="I60" s="119"/>
      <x:c r="J60" s="119"/>
      <x:c r="K60" s="119"/>
      <x:c r="L60" s="119"/>
      <x:c r="M60" s="119"/>
      <x:c r="N60" s="119"/>
      <x:c r="O60" s="119"/>
      <x:c r="P60" s="119"/>
    </x:row>
    <x:row r="61">
      <x:c r="A61" s="119"/>
      <x:c r="B61" s="119"/>
      <x:c r="C61" s="119"/>
      <x:c r="D61" s="119"/>
      <x:c r="E61" s="119"/>
      <x:c r="F61" s="119"/>
      <x:c r="G61" s="157"/>
      <x:c r="H61" s="119"/>
      <x:c r="I61" s="119"/>
      <x:c r="J61" s="119"/>
      <x:c r="K61" s="119"/>
      <x:c r="L61" s="119"/>
      <x:c r="M61" s="119"/>
      <x:c r="N61" s="119"/>
      <x:c r="O61" s="119"/>
      <x:c r="P61" s="119"/>
    </x:row>
    <x:row r="62">
      <x:c r="A62" s="119"/>
      <x:c r="B62" s="119"/>
      <x:c r="C62" s="119"/>
      <x:c r="D62" s="119"/>
      <x:c r="E62" s="119"/>
      <x:c r="F62" s="119"/>
      <x:c r="G62" s="157"/>
      <x:c r="H62" s="119"/>
      <x:c r="I62" s="119"/>
      <x:c r="J62" s="119"/>
      <x:c r="K62" s="119"/>
      <x:c r="L62" s="119"/>
      <x:c r="M62" s="119"/>
      <x:c r="N62" s="119"/>
      <x:c r="O62" s="119"/>
      <x:c r="P62" s="119"/>
    </x:row>
    <x:row r="63">
      <x:c r="A63" s="119"/>
      <x:c r="B63" s="119"/>
      <x:c r="C63" s="119"/>
      <x:c r="D63" s="119"/>
      <x:c r="E63" s="119"/>
      <x:c r="F63" s="119"/>
      <x:c r="G63" s="157"/>
      <x:c r="H63" s="119"/>
      <x:c r="I63" s="119"/>
      <x:c r="J63" s="119"/>
      <x:c r="K63" s="119"/>
      <x:c r="L63" s="119"/>
      <x:c r="M63" s="119"/>
      <x:c r="N63" s="119"/>
      <x:c r="O63" s="119"/>
      <x:c r="P63" s="119"/>
    </x:row>
    <x:row r="64">
      <x:c r="A64" s="119"/>
      <x:c r="B64" s="119"/>
      <x:c r="C64" s="119"/>
      <x:c r="D64" s="119"/>
      <x:c r="E64" s="119"/>
      <x:c r="F64" s="119"/>
      <x:c r="G64" s="157"/>
      <x:c r="H64" s="119"/>
      <x:c r="I64" s="119"/>
      <x:c r="J64" s="119"/>
      <x:c r="K64" s="119"/>
      <x:c r="L64" s="119"/>
      <x:c r="M64" s="119"/>
      <x:c r="N64" s="119"/>
      <x:c r="O64" s="119"/>
      <x:c r="P64" s="119"/>
    </x:row>
    <x:row r="65">
      <x:c r="A65" s="119"/>
      <x:c r="B65" s="119"/>
      <x:c r="C65" s="119"/>
      <x:c r="D65" s="119"/>
      <x:c r="E65" s="119"/>
      <x:c r="F65" s="119"/>
      <x:c r="G65" s="157"/>
      <x:c r="H65" s="119"/>
      <x:c r="I65" s="119"/>
      <x:c r="J65" s="119"/>
      <x:c r="K65" s="119"/>
      <x:c r="L65" s="119"/>
      <x:c r="M65" s="119"/>
      <x:c r="N65" s="119"/>
      <x:c r="O65" s="119"/>
      <x:c r="P65" s="119"/>
    </x:row>
    <x:row r="66">
      <x:c r="A66" s="119"/>
      <x:c r="B66" s="119"/>
      <x:c r="C66" s="119"/>
      <x:c r="D66" s="119"/>
      <x:c r="E66" s="119"/>
      <x:c r="F66" s="119"/>
      <x:c r="G66" s="157"/>
      <x:c r="H66" s="119"/>
      <x:c r="I66" s="119"/>
      <x:c r="J66" s="119"/>
      <x:c r="K66" s="119"/>
      <x:c r="L66" s="119"/>
      <x:c r="M66" s="119"/>
      <x:c r="N66" s="119"/>
      <x:c r="O66" s="119"/>
      <x:c r="P66" s="119"/>
    </x:row>
    <x:row r="67">
      <x:c r="A67" s="119"/>
      <x:c r="B67" s="119"/>
      <x:c r="C67" s="119"/>
      <x:c r="D67" s="119"/>
      <x:c r="E67" s="119"/>
      <x:c r="F67" s="119"/>
      <x:c r="G67" s="157"/>
      <x:c r="H67" s="119"/>
      <x:c r="I67" s="119"/>
      <x:c r="J67" s="119"/>
      <x:c r="K67" s="119"/>
      <x:c r="L67" s="119"/>
      <x:c r="M67" s="119"/>
      <x:c r="N67" s="119"/>
      <x:c r="O67" s="119"/>
      <x:c r="P67" s="119"/>
    </x:row>
    <x:row r="68">
      <x:c r="A68" s="119"/>
      <x:c r="B68" s="119"/>
      <x:c r="C68" s="119"/>
      <x:c r="D68" s="119"/>
      <x:c r="E68" s="119"/>
      <x:c r="F68" s="119"/>
      <x:c r="G68" s="157"/>
      <x:c r="H68" s="119"/>
      <x:c r="I68" s="119"/>
      <x:c r="J68" s="119"/>
      <x:c r="K68" s="119"/>
      <x:c r="L68" s="119"/>
      <x:c r="M68" s="119"/>
      <x:c r="N68" s="119"/>
      <x:c r="O68" s="119"/>
      <x:c r="P68" s="119"/>
    </x:row>
    <x:row r="69">
      <x:c r="A69" s="119"/>
      <x:c r="B69" s="119"/>
      <x:c r="C69" s="119"/>
      <x:c r="D69" s="119"/>
      <x:c r="E69" s="119"/>
      <x:c r="F69" s="119"/>
      <x:c r="G69" s="157"/>
      <x:c r="H69" s="119"/>
      <x:c r="I69" s="119"/>
      <x:c r="J69" s="119"/>
      <x:c r="K69" s="119"/>
      <x:c r="L69" s="119"/>
      <x:c r="M69" s="119"/>
      <x:c r="N69" s="119"/>
      <x:c r="O69" s="119"/>
      <x:c r="P69" s="119"/>
    </x:row>
    <x:row r="70">
      <x:c r="A70" s="119"/>
      <x:c r="B70" s="119"/>
      <x:c r="C70" s="119"/>
      <x:c r="D70" s="119"/>
      <x:c r="E70" s="119"/>
      <x:c r="F70" s="119"/>
      <x:c r="G70" s="157"/>
      <x:c r="H70" s="119"/>
      <x:c r="I70" s="119"/>
      <x:c r="J70" s="119"/>
      <x:c r="K70" s="119"/>
      <x:c r="L70" s="119"/>
      <x:c r="M70" s="119"/>
      <x:c r="N70" s="119"/>
      <x:c r="O70" s="119"/>
      <x:c r="P70" s="119"/>
    </x:row>
    <x:row r="71">
      <x:c r="A71" s="119"/>
      <x:c r="B71" s="119"/>
      <x:c r="C71" s="119"/>
      <x:c r="D71" s="119"/>
      <x:c r="E71" s="119"/>
      <x:c r="F71" s="119"/>
      <x:c r="G71" s="157"/>
      <x:c r="H71" s="119"/>
      <x:c r="I71" s="119"/>
      <x:c r="J71" s="119"/>
      <x:c r="K71" s="119"/>
      <x:c r="L71" s="119"/>
      <x:c r="M71" s="119"/>
      <x:c r="N71" s="119"/>
      <x:c r="O71" s="119"/>
      <x:c r="P71" s="119"/>
    </x:row>
    <x:row r="72">
      <x:c r="A72" s="119"/>
      <x:c r="B72" s="119"/>
      <x:c r="C72" s="119"/>
      <x:c r="D72" s="119"/>
      <x:c r="E72" s="119"/>
      <x:c r="F72" s="119"/>
      <x:c r="G72" s="157"/>
      <x:c r="H72" s="119"/>
      <x:c r="I72" s="119"/>
      <x:c r="J72" s="119"/>
      <x:c r="K72" s="119"/>
      <x:c r="L72" s="119"/>
      <x:c r="M72" s="119"/>
      <x:c r="N72" s="119"/>
      <x:c r="O72" s="119"/>
      <x:c r="P72" s="119"/>
    </x:row>
    <x:row r="73">
      <x:c r="A73" s="119"/>
      <x:c r="B73" s="119"/>
      <x:c r="C73" s="119"/>
      <x:c r="D73" s="119"/>
      <x:c r="E73" s="119"/>
      <x:c r="F73" s="119"/>
      <x:c r="G73" s="157"/>
      <x:c r="H73" s="119"/>
      <x:c r="I73" s="119"/>
      <x:c r="J73" s="119"/>
      <x:c r="K73" s="119"/>
      <x:c r="L73" s="119"/>
      <x:c r="M73" s="119"/>
      <x:c r="N73" s="119"/>
      <x:c r="O73" s="119"/>
      <x:c r="P73" s="119"/>
    </x:row>
    <x:row r="74">
      <x:c r="A74" s="119"/>
      <x:c r="B74" s="119"/>
      <x:c r="C74" s="119"/>
      <x:c r="D74" s="119"/>
      <x:c r="E74" s="119"/>
      <x:c r="F74" s="119"/>
      <x:c r="G74" s="157"/>
      <x:c r="H74" s="119"/>
      <x:c r="I74" s="119"/>
      <x:c r="J74" s="119"/>
      <x:c r="K74" s="119"/>
      <x:c r="L74" s="119"/>
      <x:c r="M74" s="119"/>
      <x:c r="N74" s="119"/>
      <x:c r="O74" s="119"/>
      <x:c r="P74" s="119"/>
    </x:row>
    <x:row r="75">
      <x:c r="A75" s="119"/>
      <x:c r="B75" s="119"/>
      <x:c r="C75" s="119"/>
      <x:c r="D75" s="119"/>
      <x:c r="E75" s="119"/>
      <x:c r="F75" s="119"/>
      <x:c r="G75" s="157"/>
      <x:c r="H75" s="119"/>
      <x:c r="I75" s="119"/>
      <x:c r="J75" s="119"/>
      <x:c r="K75" s="119"/>
      <x:c r="L75" s="119"/>
      <x:c r="M75" s="119"/>
      <x:c r="N75" s="119"/>
      <x:c r="O75" s="119"/>
      <x:c r="P75" s="119"/>
    </x:row>
    <x:row r="76">
      <x:c r="A76" s="119"/>
      <x:c r="B76" s="119"/>
      <x:c r="C76" s="119"/>
      <x:c r="D76" s="119"/>
      <x:c r="E76" s="119"/>
      <x:c r="F76" s="119"/>
      <x:c r="G76" s="157"/>
      <x:c r="H76" s="119"/>
      <x:c r="I76" s="119"/>
      <x:c r="J76" s="119"/>
      <x:c r="K76" s="119"/>
      <x:c r="L76" s="119"/>
      <x:c r="M76" s="119"/>
      <x:c r="N76" s="119"/>
      <x:c r="O76" s="119"/>
      <x:c r="P76" s="119"/>
    </x:row>
    <x:row r="77">
      <x:c r="A77" s="119"/>
      <x:c r="B77" s="119"/>
      <x:c r="C77" s="119"/>
      <x:c r="D77" s="119"/>
      <x:c r="E77" s="119"/>
      <x:c r="F77" s="119"/>
      <x:c r="G77" s="157"/>
      <x:c r="H77" s="119"/>
      <x:c r="I77" s="119"/>
      <x:c r="J77" s="119"/>
      <x:c r="K77" s="119"/>
      <x:c r="L77" s="119"/>
      <x:c r="M77" s="119"/>
      <x:c r="N77" s="119"/>
      <x:c r="O77" s="119"/>
      <x:c r="P77" s="119"/>
    </x:row>
    <x:row r="78">
      <x:c r="A78" s="119"/>
      <x:c r="B78" s="119"/>
      <x:c r="C78" s="119"/>
      <x:c r="D78" s="119"/>
      <x:c r="E78" s="119"/>
      <x:c r="F78" s="119"/>
      <x:c r="G78" s="157"/>
      <x:c r="H78" s="119"/>
      <x:c r="I78" s="119"/>
      <x:c r="J78" s="119"/>
      <x:c r="K78" s="119"/>
      <x:c r="L78" s="119"/>
      <x:c r="M78" s="119"/>
      <x:c r="N78" s="119"/>
      <x:c r="O78" s="119"/>
      <x:c r="P78" s="119"/>
    </x:row>
    <x:row r="79">
      <x:c r="A79" s="119"/>
      <x:c r="B79" s="119"/>
      <x:c r="C79" s="119"/>
      <x:c r="D79" s="119"/>
      <x:c r="E79" s="119"/>
      <x:c r="F79" s="119"/>
      <x:c r="G79" s="157"/>
      <x:c r="H79" s="119"/>
      <x:c r="I79" s="119"/>
      <x:c r="J79" s="119"/>
      <x:c r="K79" s="119"/>
      <x:c r="L79" s="119"/>
      <x:c r="M79" s="119"/>
      <x:c r="N79" s="119"/>
      <x:c r="O79" s="119"/>
      <x:c r="P79" s="119"/>
    </x:row>
    <x:row r="80">
      <x:c r="A80" s="119"/>
      <x:c r="B80" s="119"/>
      <x:c r="C80" s="119"/>
      <x:c r="D80" s="119"/>
      <x:c r="E80" s="119"/>
      <x:c r="F80" s="119"/>
      <x:c r="G80" s="157"/>
      <x:c r="H80" s="119"/>
      <x:c r="I80" s="119"/>
      <x:c r="J80" s="119"/>
      <x:c r="K80" s="119"/>
      <x:c r="L80" s="119"/>
      <x:c r="M80" s="119"/>
      <x:c r="N80" s="119"/>
      <x:c r="O80" s="119"/>
      <x:c r="P80" s="119"/>
    </x:row>
    <x:row r="81">
      <x:c r="A81" s="119"/>
      <x:c r="B81" s="119"/>
      <x:c r="C81" s="119"/>
      <x:c r="D81" s="119"/>
      <x:c r="E81" s="119"/>
      <x:c r="F81" s="119"/>
      <x:c r="G81" s="157"/>
      <x:c r="H81" s="119"/>
      <x:c r="I81" s="119"/>
      <x:c r="J81" s="119"/>
      <x:c r="K81" s="119"/>
      <x:c r="L81" s="119"/>
      <x:c r="M81" s="119"/>
      <x:c r="N81" s="119"/>
      <x:c r="O81" s="119"/>
      <x:c r="P81" s="119"/>
    </x:row>
    <x:row r="82">
      <x:c r="A82" s="119"/>
      <x:c r="B82" s="119"/>
      <x:c r="C82" s="119"/>
      <x:c r="D82" s="119"/>
      <x:c r="E82" s="119"/>
      <x:c r="F82" s="119"/>
      <x:c r="G82" s="157"/>
      <x:c r="H82" s="119"/>
      <x:c r="I82" s="119"/>
      <x:c r="J82" s="119"/>
      <x:c r="K82" s="119"/>
      <x:c r="L82" s="119"/>
      <x:c r="M82" s="119"/>
      <x:c r="N82" s="119"/>
      <x:c r="O82" s="119"/>
      <x:c r="P82" s="119"/>
    </x:row>
    <x:row r="83">
      <x:c r="A83" s="119"/>
      <x:c r="B83" s="119"/>
      <x:c r="C83" s="119"/>
      <x:c r="D83" s="119"/>
      <x:c r="E83" s="119"/>
      <x:c r="F83" s="119"/>
      <x:c r="G83" s="157"/>
      <x:c r="H83" s="119"/>
      <x:c r="I83" s="119"/>
      <x:c r="J83" s="119"/>
      <x:c r="K83" s="119"/>
      <x:c r="L83" s="119"/>
      <x:c r="M83" s="119"/>
      <x:c r="N83" s="119"/>
      <x:c r="O83" s="119"/>
      <x:c r="P83" s="119"/>
    </x:row>
    <x:row r="84">
      <x:c r="A84" s="119"/>
      <x:c r="B84" s="119"/>
      <x:c r="C84" s="119"/>
      <x:c r="D84" s="119"/>
      <x:c r="E84" s="119"/>
      <x:c r="F84" s="119"/>
      <x:c r="G84" s="157"/>
      <x:c r="H84" s="119"/>
      <x:c r="I84" s="119"/>
      <x:c r="J84" s="119"/>
      <x:c r="K84" s="119"/>
      <x:c r="L84" s="119"/>
      <x:c r="M84" s="119"/>
      <x:c r="N84" s="119"/>
      <x:c r="O84" s="119"/>
      <x:c r="P84" s="119"/>
    </x:row>
    <x:row r="85">
      <x:c r="A85" s="119"/>
      <x:c r="B85" s="119"/>
      <x:c r="C85" s="119"/>
      <x:c r="D85" s="119"/>
      <x:c r="E85" s="119"/>
      <x:c r="F85" s="119"/>
      <x:c r="G85" s="157"/>
      <x:c r="H85" s="119"/>
      <x:c r="I85" s="119"/>
      <x:c r="J85" s="119"/>
      <x:c r="K85" s="119"/>
      <x:c r="L85" s="119"/>
      <x:c r="M85" s="119"/>
      <x:c r="N85" s="119"/>
      <x:c r="O85" s="119"/>
      <x:c r="P85" s="119"/>
    </x:row>
    <x:row r="86">
      <x:c r="A86" s="119"/>
      <x:c r="B86" s="119"/>
      <x:c r="C86" s="119"/>
      <x:c r="D86" s="119"/>
      <x:c r="E86" s="119"/>
      <x:c r="F86" s="119"/>
      <x:c r="G86" s="157"/>
      <x:c r="H86" s="119"/>
      <x:c r="I86" s="119"/>
      <x:c r="J86" s="119"/>
      <x:c r="K86" s="119"/>
      <x:c r="L86" s="119"/>
      <x:c r="M86" s="119"/>
      <x:c r="N86" s="119"/>
      <x:c r="O86" s="119"/>
      <x:c r="P86" s="119"/>
    </x:row>
    <x:row r="87">
      <x:c r="A87" s="119"/>
      <x:c r="B87" s="119"/>
      <x:c r="C87" s="119"/>
      <x:c r="D87" s="119"/>
      <x:c r="E87" s="119"/>
      <x:c r="F87" s="119"/>
      <x:c r="G87" s="157"/>
      <x:c r="H87" s="119"/>
      <x:c r="I87" s="119"/>
      <x:c r="J87" s="119"/>
      <x:c r="K87" s="119"/>
      <x:c r="L87" s="119"/>
      <x:c r="M87" s="119"/>
      <x:c r="N87" s="119"/>
      <x:c r="O87" s="119"/>
      <x:c r="P87" s="119"/>
    </x:row>
    <x:row r="88">
      <x:c r="A88" s="119"/>
      <x:c r="B88" s="119"/>
      <x:c r="C88" s="119"/>
      <x:c r="D88" s="119"/>
      <x:c r="E88" s="119"/>
      <x:c r="F88" s="119"/>
      <x:c r="G88" s="157"/>
      <x:c r="H88" s="119"/>
      <x:c r="I88" s="119"/>
      <x:c r="J88" s="119"/>
      <x:c r="K88" s="119"/>
      <x:c r="L88" s="119"/>
      <x:c r="M88" s="119"/>
      <x:c r="N88" s="119"/>
      <x:c r="O88" s="119"/>
      <x:c r="P88" s="119"/>
    </x:row>
    <x:row r="89">
      <x:c r="A89" s="119"/>
      <x:c r="B89" s="119"/>
      <x:c r="C89" s="119"/>
      <x:c r="D89" s="119"/>
      <x:c r="E89" s="119"/>
      <x:c r="F89" s="119"/>
      <x:c r="G89" s="157"/>
      <x:c r="H89" s="119"/>
      <x:c r="I89" s="119"/>
      <x:c r="J89" s="119"/>
      <x:c r="K89" s="119"/>
      <x:c r="L89" s="119"/>
      <x:c r="M89" s="119"/>
      <x:c r="N89" s="119"/>
      <x:c r="O89" s="119"/>
      <x:c r="P89" s="119"/>
    </x:row>
    <x:row r="90">
      <x:c r="A90" s="119"/>
      <x:c r="B90" s="119"/>
      <x:c r="C90" s="119"/>
      <x:c r="D90" s="119"/>
      <x:c r="E90" s="119"/>
      <x:c r="F90" s="119"/>
      <x:c r="G90" s="157"/>
      <x:c r="H90" s="119"/>
      <x:c r="I90" s="119"/>
      <x:c r="J90" s="119"/>
      <x:c r="K90" s="119"/>
      <x:c r="L90" s="119"/>
      <x:c r="M90" s="119"/>
      <x:c r="N90" s="119"/>
      <x:c r="O90" s="119"/>
      <x:c r="P90" s="119"/>
    </x:row>
    <x:row r="91">
      <x:c r="A91" s="119"/>
      <x:c r="B91" s="119"/>
      <x:c r="C91" s="119"/>
      <x:c r="D91" s="119"/>
      <x:c r="E91" s="119"/>
      <x:c r="F91" s="119"/>
      <x:c r="G91" s="157"/>
      <x:c r="H91" s="119"/>
      <x:c r="I91" s="119"/>
      <x:c r="J91" s="119"/>
      <x:c r="K91" s="119"/>
      <x:c r="L91" s="119"/>
      <x:c r="M91" s="119"/>
      <x:c r="N91" s="119"/>
      <x:c r="O91" s="119"/>
      <x:c r="P91" s="119"/>
    </x:row>
    <x:row r="92">
      <x:c r="A92" s="119"/>
      <x:c r="B92" s="119"/>
      <x:c r="C92" s="119"/>
      <x:c r="D92" s="119"/>
      <x:c r="E92" s="119"/>
      <x:c r="F92" s="119"/>
      <x:c r="G92" s="157"/>
      <x:c r="H92" s="119"/>
      <x:c r="I92" s="119"/>
      <x:c r="J92" s="119"/>
      <x:c r="K92" s="119"/>
      <x:c r="L92" s="119"/>
      <x:c r="M92" s="119"/>
      <x:c r="N92" s="119"/>
      <x:c r="O92" s="119"/>
      <x:c r="P92" s="119"/>
    </x:row>
    <x:row r="93">
      <x:c r="A93" s="119"/>
      <x:c r="B93" s="119"/>
      <x:c r="C93" s="119"/>
      <x:c r="D93" s="119"/>
      <x:c r="E93" s="119"/>
      <x:c r="F93" s="119"/>
      <x:c r="G93" s="157"/>
      <x:c r="H93" s="119"/>
      <x:c r="I93" s="119"/>
      <x:c r="J93" s="119"/>
      <x:c r="K93" s="119"/>
      <x:c r="L93" s="119"/>
      <x:c r="M93" s="119"/>
      <x:c r="N93" s="119"/>
      <x:c r="O93" s="119"/>
      <x:c r="P93" s="119"/>
    </x:row>
    <x:row r="94">
      <x:c r="A94" s="119"/>
      <x:c r="B94" s="119"/>
      <x:c r="C94" s="119"/>
      <x:c r="D94" s="119"/>
      <x:c r="E94" s="119"/>
      <x:c r="F94" s="119"/>
      <x:c r="G94" s="157"/>
      <x:c r="H94" s="119"/>
      <x:c r="I94" s="119"/>
      <x:c r="J94" s="119"/>
      <x:c r="K94" s="119"/>
      <x:c r="L94" s="119"/>
      <x:c r="M94" s="119"/>
      <x:c r="N94" s="119"/>
      <x:c r="O94" s="119"/>
      <x:c r="P94" s="119"/>
    </x:row>
    <x:row r="95">
      <x:c r="A95" s="119"/>
      <x:c r="B95" s="119"/>
      <x:c r="C95" s="119"/>
      <x:c r="D95" s="119"/>
      <x:c r="E95" s="119"/>
      <x:c r="F95" s="119"/>
      <x:c r="G95" s="157"/>
      <x:c r="H95" s="119"/>
      <x:c r="I95" s="119"/>
      <x:c r="J95" s="119"/>
      <x:c r="K95" s="119"/>
      <x:c r="L95" s="119"/>
      <x:c r="M95" s="119"/>
      <x:c r="N95" s="119"/>
      <x:c r="O95" s="119"/>
      <x:c r="P95" s="119"/>
    </x:row>
    <x:row r="96">
      <x:c r="A96" s="119"/>
      <x:c r="B96" s="119"/>
      <x:c r="C96" s="119"/>
      <x:c r="D96" s="119"/>
      <x:c r="E96" s="119"/>
      <x:c r="F96" s="119"/>
      <x:c r="G96" s="157"/>
      <x:c r="H96" s="119"/>
      <x:c r="I96" s="119"/>
      <x:c r="J96" s="119"/>
      <x:c r="K96" s="119"/>
      <x:c r="L96" s="119"/>
      <x:c r="M96" s="119"/>
      <x:c r="N96" s="119"/>
      <x:c r="O96" s="119"/>
      <x:c r="P96" s="119"/>
    </x:row>
    <x:row r="97">
      <x:c r="A97" s="119"/>
      <x:c r="B97" s="119"/>
      <x:c r="C97" s="119"/>
      <x:c r="D97" s="119"/>
      <x:c r="E97" s="119"/>
      <x:c r="F97" s="119"/>
      <x:c r="G97" s="157"/>
      <x:c r="H97" s="119"/>
      <x:c r="I97" s="119"/>
      <x:c r="J97" s="119"/>
      <x:c r="K97" s="119"/>
      <x:c r="L97" s="119"/>
      <x:c r="M97" s="119"/>
      <x:c r="N97" s="119"/>
      <x:c r="O97" s="119"/>
      <x:c r="P97" s="119"/>
    </x:row>
    <x:row r="98">
      <x:c r="A98" s="119"/>
      <x:c r="B98" s="119"/>
      <x:c r="C98" s="119"/>
      <x:c r="D98" s="119"/>
      <x:c r="E98" s="119"/>
      <x:c r="F98" s="119"/>
      <x:c r="G98" s="157"/>
      <x:c r="H98" s="119"/>
      <x:c r="I98" s="119"/>
      <x:c r="J98" s="119"/>
      <x:c r="K98" s="119"/>
      <x:c r="L98" s="119"/>
      <x:c r="M98" s="119"/>
      <x:c r="N98" s="119"/>
      <x:c r="O98" s="119"/>
      <x:c r="P98" s="119"/>
    </x:row>
    <x:row r="99">
      <x:c r="A99" s="119"/>
      <x:c r="B99" s="119"/>
      <x:c r="C99" s="119"/>
      <x:c r="D99" s="119"/>
      <x:c r="E99" s="119"/>
      <x:c r="F99" s="119"/>
      <x:c r="G99" s="157"/>
      <x:c r="H99" s="119"/>
      <x:c r="I99" s="119"/>
      <x:c r="J99" s="119"/>
      <x:c r="K99" s="119"/>
      <x:c r="L99" s="119"/>
      <x:c r="M99" s="119"/>
      <x:c r="N99" s="119"/>
      <x:c r="O99" s="119"/>
      <x:c r="P99" s="119"/>
    </x:row>
    <x:row r="100">
      <x:c r="A100" s="119"/>
      <x:c r="B100" s="119"/>
      <x:c r="C100" s="119"/>
      <x:c r="D100" s="119"/>
      <x:c r="E100" s="119"/>
      <x:c r="F100" s="119"/>
      <x:c r="G100" s="157"/>
      <x:c r="H100" s="119"/>
      <x:c r="I100" s="119"/>
      <x:c r="J100" s="119"/>
      <x:c r="K100" s="119"/>
      <x:c r="L100" s="119"/>
      <x:c r="M100" s="119"/>
      <x:c r="N100" s="119"/>
      <x:c r="O100" s="119"/>
      <x:c r="P100" s="119"/>
    </x:row>
    <x:row r="101">
      <x:c r="A101" s="119"/>
      <x:c r="B101" s="119"/>
      <x:c r="C101" s="119"/>
      <x:c r="D101" s="119"/>
      <x:c r="E101" s="119"/>
      <x:c r="F101" s="119"/>
      <x:c r="G101" s="119"/>
      <x:c r="H101" s="119"/>
      <x:c r="I101" s="119"/>
      <x:c r="J101" s="119"/>
      <x:c r="K101" s="119"/>
      <x:c r="L101" s="119"/>
      <x:c r="M101" s="119"/>
      <x:c r="N101" s="119"/>
      <x:c r="O101" s="119"/>
      <x:c r="P101" s="119"/>
    </x:row>
    <x:row r="102">
      <x:c r="A102" s="119"/>
      <x:c r="B102" s="119"/>
      <x:c r="C102" s="119"/>
      <x:c r="D102" s="119"/>
      <x:c r="E102" s="119"/>
      <x:c r="F102" s="119"/>
      <x:c r="G102" s="119"/>
      <x:c r="H102" s="119"/>
      <x:c r="I102" s="119"/>
      <x:c r="J102" s="119"/>
      <x:c r="K102" s="119"/>
      <x:c r="L102" s="119"/>
      <x:c r="M102" s="119"/>
      <x:c r="N102" s="119"/>
      <x:c r="O102" s="119"/>
      <x:c r="P102" s="119"/>
    </x:row>
    <x:row r="103">
      <x:c r="A103" s="119"/>
      <x:c r="B103" s="119"/>
      <x:c r="C103" s="119"/>
      <x:c r="D103" s="119"/>
      <x:c r="E103" s="119"/>
      <x:c r="F103" s="119"/>
      <x:c r="G103" s="119"/>
      <x:c r="H103" s="119"/>
      <x:c r="I103" s="119"/>
      <x:c r="J103" s="119"/>
      <x:c r="K103" s="119"/>
      <x:c r="L103" s="119"/>
      <x:c r="M103" s="119"/>
      <x:c r="N103" s="119"/>
      <x:c r="O103" s="119"/>
      <x:c r="P103" s="119"/>
    </x:row>
    <x:row r="104">
      <x:c r="A104" s="119"/>
      <x:c r="B104" s="119"/>
      <x:c r="C104" s="119"/>
      <x:c r="D104" s="119"/>
      <x:c r="E104" s="119"/>
      <x:c r="F104" s="119"/>
      <x:c r="G104" s="119"/>
      <x:c r="H104" s="119"/>
      <x:c r="I104" s="119"/>
      <x:c r="J104" s="119"/>
      <x:c r="K104" s="119"/>
      <x:c r="L104" s="119"/>
      <x:c r="M104" s="119"/>
      <x:c r="N104" s="119"/>
      <x:c r="O104" s="119"/>
      <x:c r="P104" s="119"/>
    </x:row>
    <x:row r="105">
      <x:c r="A105" s="119"/>
      <x:c r="B105" s="119"/>
      <x:c r="C105" s="119"/>
      <x:c r="D105" s="119"/>
      <x:c r="E105" s="119"/>
      <x:c r="F105" s="119"/>
      <x:c r="G105" s="119"/>
      <x:c r="H105" s="119"/>
      <x:c r="I105" s="119"/>
      <x:c r="J105" s="119"/>
      <x:c r="K105" s="119"/>
      <x:c r="L105" s="119"/>
      <x:c r="M105" s="119"/>
      <x:c r="N105" s="119"/>
      <x:c r="O105" s="119"/>
      <x:c r="P105" s="119"/>
    </x:row>
    <x:row r="106">
      <x:c r="A106" s="119"/>
      <x:c r="B106" s="119"/>
      <x:c r="C106" s="119"/>
      <x:c r="D106" s="119"/>
      <x:c r="E106" s="119"/>
      <x:c r="F106" s="119"/>
      <x:c r="G106" s="119"/>
      <x:c r="H106" s="119"/>
      <x:c r="I106" s="119"/>
      <x:c r="J106" s="119"/>
      <x:c r="K106" s="119"/>
      <x:c r="L106" s="119"/>
      <x:c r="M106" s="119"/>
      <x:c r="N106" s="119"/>
      <x:c r="O106" s="119"/>
      <x:c r="P106" s="119"/>
    </x:row>
    <x:row r="107">
      <x:c r="A107" s="119"/>
      <x:c r="B107" s="119"/>
      <x:c r="C107" s="119"/>
      <x:c r="D107" s="119"/>
      <x:c r="E107" s="119"/>
      <x:c r="F107" s="119"/>
      <x:c r="G107" s="119"/>
      <x:c r="H107" s="119"/>
      <x:c r="I107" s="119"/>
      <x:c r="J107" s="119"/>
      <x:c r="K107" s="119"/>
      <x:c r="L107" s="119"/>
      <x:c r="M107" s="119"/>
      <x:c r="N107" s="119"/>
      <x:c r="O107" s="119"/>
      <x:c r="P107" s="119"/>
    </x:row>
    <x:row r="108">
      <x:c r="A108" s="119"/>
      <x:c r="B108" s="119"/>
      <x:c r="C108" s="119"/>
      <x:c r="D108" s="119"/>
      <x:c r="E108" s="119"/>
      <x:c r="F108" s="119"/>
      <x:c r="G108" s="119"/>
      <x:c r="H108" s="119"/>
      <x:c r="I108" s="119"/>
      <x:c r="J108" s="119"/>
      <x:c r="K108" s="119"/>
      <x:c r="L108" s="119"/>
      <x:c r="M108" s="119"/>
      <x:c r="N108" s="119"/>
      <x:c r="O108" s="119"/>
      <x:c r="P108" s="119"/>
    </x:row>
    <x:row r="109">
      <x:c r="A109" s="119"/>
      <x:c r="B109" s="119"/>
      <x:c r="C109" s="119"/>
      <x:c r="D109" s="119"/>
      <x:c r="E109" s="119"/>
      <x:c r="F109" s="119"/>
      <x:c r="G109" s="119"/>
      <x:c r="H109" s="119"/>
      <x:c r="I109" s="119"/>
      <x:c r="J109" s="119"/>
      <x:c r="K109" s="119"/>
      <x:c r="L109" s="119"/>
      <x:c r="M109" s="119"/>
      <x:c r="N109" s="119"/>
      <x:c r="O109" s="119"/>
      <x:c r="P109" s="119"/>
    </x:row>
    <x:row r="110">
      <x:c r="A110" s="119"/>
      <x:c r="B110" s="119"/>
      <x:c r="C110" s="119"/>
      <x:c r="D110" s="119"/>
      <x:c r="E110" s="119"/>
      <x:c r="F110" s="119"/>
      <x:c r="G110" s="119"/>
      <x:c r="H110" s="119"/>
      <x:c r="I110" s="119"/>
      <x:c r="J110" s="119"/>
      <x:c r="K110" s="119"/>
      <x:c r="L110" s="119"/>
      <x:c r="M110" s="119"/>
      <x:c r="N110" s="119"/>
      <x:c r="O110" s="119"/>
      <x:c r="P110" s="119"/>
    </x:row>
    <x:row r="111">
      <x:c r="A111" s="119"/>
      <x:c r="B111" s="119"/>
      <x:c r="C111" s="119"/>
      <x:c r="D111" s="119"/>
      <x:c r="E111" s="119"/>
      <x:c r="F111" s="119"/>
      <x:c r="G111" s="119"/>
      <x:c r="H111" s="119"/>
      <x:c r="I111" s="119"/>
      <x:c r="J111" s="119"/>
      <x:c r="K111" s="119"/>
      <x:c r="L111" s="119"/>
      <x:c r="M111" s="119"/>
      <x:c r="N111" s="119"/>
      <x:c r="O111" s="119"/>
      <x:c r="P111" s="119"/>
    </x:row>
    <x:row r="112">
      <x:c r="A112" s="119"/>
      <x:c r="B112" s="119"/>
      <x:c r="C112" s="119"/>
      <x:c r="D112" s="119"/>
      <x:c r="E112" s="119"/>
      <x:c r="F112" s="119"/>
      <x:c r="G112" s="119"/>
      <x:c r="H112" s="119"/>
      <x:c r="I112" s="119"/>
      <x:c r="J112" s="119"/>
      <x:c r="K112" s="119"/>
      <x:c r="L112" s="119"/>
      <x:c r="M112" s="119"/>
      <x:c r="N112" s="119"/>
      <x:c r="O112" s="119"/>
      <x:c r="P112" s="119"/>
    </x:row>
    <x:row r="113">
      <x:c r="A113" s="119"/>
      <x:c r="B113" s="119"/>
      <x:c r="C113" s="119"/>
      <x:c r="D113" s="119"/>
      <x:c r="E113" s="119"/>
      <x:c r="F113" s="119"/>
      <x:c r="G113" s="119"/>
      <x:c r="H113" s="119"/>
      <x:c r="I113" s="119"/>
      <x:c r="J113" s="119"/>
      <x:c r="K113" s="119"/>
      <x:c r="L113" s="119"/>
      <x:c r="M113" s="119"/>
      <x:c r="N113" s="119"/>
      <x:c r="O113" s="119"/>
      <x:c r="P113" s="119"/>
    </x:row>
    <x:row r="114">
      <x:c r="A114" s="119"/>
      <x:c r="B114" s="119"/>
      <x:c r="C114" s="119"/>
      <x:c r="D114" s="119"/>
      <x:c r="E114" s="119"/>
      <x:c r="F114" s="119"/>
      <x:c r="G114" s="119"/>
      <x:c r="H114" s="119"/>
      <x:c r="I114" s="119"/>
      <x:c r="J114" s="119"/>
      <x:c r="K114" s="119"/>
      <x:c r="L114" s="119"/>
      <x:c r="M114" s="119"/>
      <x:c r="N114" s="119"/>
      <x:c r="O114" s="119"/>
      <x:c r="P114" s="119"/>
    </x:row>
    <x:row r="115">
      <x:c r="A115" s="119"/>
      <x:c r="B115" s="119"/>
      <x:c r="C115" s="119"/>
      <x:c r="D115" s="119"/>
      <x:c r="E115" s="119"/>
      <x:c r="F115" s="119"/>
      <x:c r="G115" s="119"/>
      <x:c r="H115" s="119"/>
      <x:c r="I115" s="119"/>
      <x:c r="J115" s="119"/>
      <x:c r="K115" s="119"/>
      <x:c r="L115" s="119"/>
      <x:c r="M115" s="119"/>
      <x:c r="N115" s="119"/>
      <x:c r="O115" s="119"/>
      <x:c r="P115" s="119"/>
    </x:row>
    <x:row r="116">
      <x:c r="A116" s="119"/>
      <x:c r="B116" s="119"/>
      <x:c r="C116" s="119"/>
      <x:c r="D116" s="119"/>
      <x:c r="E116" s="119"/>
      <x:c r="F116" s="119"/>
      <x:c r="G116" s="119"/>
      <x:c r="H116" s="119"/>
      <x:c r="I116" s="119"/>
      <x:c r="J116" s="119"/>
      <x:c r="K116" s="119"/>
      <x:c r="L116" s="119"/>
      <x:c r="M116" s="119"/>
      <x:c r="N116" s="119"/>
      <x:c r="O116" s="119"/>
      <x:c r="P116" s="119"/>
    </x:row>
    <x:row r="117">
      <x:c r="A117" s="119"/>
      <x:c r="B117" s="119"/>
      <x:c r="C117" s="119"/>
      <x:c r="D117" s="119"/>
      <x:c r="E117" s="119"/>
      <x:c r="F117" s="119"/>
      <x:c r="G117" s="119"/>
      <x:c r="H117" s="119"/>
      <x:c r="I117" s="119"/>
      <x:c r="J117" s="119"/>
      <x:c r="K117" s="119"/>
      <x:c r="L117" s="119"/>
      <x:c r="M117" s="119"/>
      <x:c r="N117" s="119"/>
      <x:c r="O117" s="119"/>
      <x:c r="P117" s="119"/>
    </x:row>
    <x:row r="118">
      <x:c r="A118" s="119"/>
      <x:c r="B118" s="119"/>
      <x:c r="C118" s="119"/>
      <x:c r="D118" s="119"/>
      <x:c r="E118" s="119"/>
      <x:c r="F118" s="119"/>
      <x:c r="G118" s="119"/>
      <x:c r="H118" s="119"/>
      <x:c r="I118" s="119"/>
      <x:c r="J118" s="119"/>
      <x:c r="K118" s="119"/>
      <x:c r="L118" s="119"/>
      <x:c r="M118" s="119"/>
      <x:c r="N118" s="119"/>
      <x:c r="O118" s="119"/>
      <x:c r="P118" s="119"/>
    </x:row>
    <x:row r="119">
      <x:c r="A119" s="119"/>
      <x:c r="B119" s="119"/>
      <x:c r="C119" s="119"/>
      <x:c r="D119" s="119"/>
      <x:c r="E119" s="119"/>
      <x:c r="F119" s="119"/>
      <x:c r="G119" s="119"/>
      <x:c r="H119" s="119"/>
      <x:c r="I119" s="119"/>
      <x:c r="J119" s="119"/>
      <x:c r="K119" s="119"/>
      <x:c r="L119" s="119"/>
      <x:c r="M119" s="119"/>
      <x:c r="N119" s="119"/>
      <x:c r="O119" s="119"/>
      <x:c r="P119" s="119"/>
    </x:row>
    <x:row r="120">
      <x:c r="A120" s="119"/>
      <x:c r="B120" s="119"/>
      <x:c r="C120" s="119"/>
      <x:c r="D120" s="119"/>
      <x:c r="E120" s="119"/>
      <x:c r="F120" s="119"/>
      <x:c r="G120" s="119"/>
      <x:c r="H120" s="119"/>
      <x:c r="I120" s="119"/>
      <x:c r="J120" s="119"/>
      <x:c r="K120" s="119"/>
      <x:c r="L120" s="119"/>
      <x:c r="M120" s="119"/>
      <x:c r="N120" s="119"/>
      <x:c r="O120" s="119"/>
      <x:c r="P120" s="119"/>
    </x:row>
    <x:row r="121">
      <x:c r="A121" s="119"/>
      <x:c r="B121" s="119"/>
      <x:c r="C121" s="119"/>
      <x:c r="D121" s="119"/>
      <x:c r="E121" s="119"/>
      <x:c r="F121" s="119"/>
      <x:c r="G121" s="119"/>
      <x:c r="H121" s="119"/>
      <x:c r="I121" s="119"/>
      <x:c r="J121" s="119"/>
      <x:c r="K121" s="119"/>
      <x:c r="L121" s="119"/>
      <x:c r="M121" s="119"/>
      <x:c r="N121" s="119"/>
      <x:c r="O121" s="119"/>
      <x:c r="P121" s="119"/>
    </x:row>
    <x:row r="122">
      <x:c r="A122" s="119"/>
      <x:c r="B122" s="119"/>
      <x:c r="C122" s="119"/>
      <x:c r="D122" s="119"/>
      <x:c r="E122" s="119"/>
      <x:c r="F122" s="119"/>
      <x:c r="G122" s="119"/>
      <x:c r="H122" s="119"/>
      <x:c r="I122" s="119"/>
      <x:c r="J122" s="119"/>
      <x:c r="K122" s="119"/>
      <x:c r="L122" s="119"/>
      <x:c r="M122" s="119"/>
      <x:c r="N122" s="119"/>
      <x:c r="O122" s="119"/>
      <x:c r="P122" s="119"/>
    </x:row>
    <x:row r="123">
      <x:c r="A123" s="119"/>
      <x:c r="B123" s="119"/>
      <x:c r="C123" s="119"/>
      <x:c r="D123" s="119"/>
      <x:c r="E123" s="119"/>
      <x:c r="F123" s="119"/>
      <x:c r="G123" s="119"/>
      <x:c r="H123" s="119"/>
      <x:c r="I123" s="119"/>
      <x:c r="J123" s="119"/>
      <x:c r="K123" s="119"/>
      <x:c r="L123" s="119"/>
      <x:c r="M123" s="119"/>
      <x:c r="N123" s="119"/>
      <x:c r="O123" s="119"/>
      <x:c r="P123" s="119"/>
    </x:row>
    <x:row r="124">
      <x:c r="A124" s="119"/>
      <x:c r="B124" s="119"/>
      <x:c r="C124" s="119"/>
      <x:c r="D124" s="119"/>
      <x:c r="E124" s="119"/>
      <x:c r="F124" s="119"/>
      <x:c r="G124" s="119"/>
      <x:c r="H124" s="119"/>
      <x:c r="I124" s="119"/>
      <x:c r="J124" s="119"/>
      <x:c r="K124" s="119"/>
      <x:c r="L124" s="119"/>
      <x:c r="M124" s="119"/>
      <x:c r="N124" s="119"/>
      <x:c r="O124" s="119"/>
      <x:c r="P124" s="119"/>
    </x:row>
    <x:row r="125">
      <x:c r="A125" s="119"/>
      <x:c r="B125" s="119"/>
      <x:c r="C125" s="119"/>
      <x:c r="D125" s="119"/>
      <x:c r="E125" s="119"/>
      <x:c r="F125" s="119"/>
      <x:c r="G125" s="119"/>
      <x:c r="H125" s="119"/>
      <x:c r="I125" s="119"/>
      <x:c r="J125" s="119"/>
      <x:c r="K125" s="119"/>
      <x:c r="L125" s="119"/>
      <x:c r="M125" s="119"/>
      <x:c r="N125" s="119"/>
      <x:c r="O125" s="119"/>
      <x:c r="P125" s="119"/>
    </x:row>
    <x:row r="126">
      <x:c r="A126" s="119"/>
      <x:c r="B126" s="119"/>
      <x:c r="C126" s="119"/>
      <x:c r="D126" s="119"/>
      <x:c r="E126" s="119"/>
      <x:c r="F126" s="119"/>
      <x:c r="G126" s="119"/>
      <x:c r="H126" s="119"/>
      <x:c r="I126" s="119"/>
      <x:c r="J126" s="119"/>
      <x:c r="K126" s="119"/>
      <x:c r="L126" s="119"/>
      <x:c r="M126" s="119"/>
      <x:c r="N126" s="119"/>
      <x:c r="O126" s="119"/>
      <x:c r="P126" s="119"/>
    </x:row>
    <x:row r="127">
      <x:c r="A127" s="119"/>
      <x:c r="B127" s="119"/>
      <x:c r="C127" s="119"/>
      <x:c r="D127" s="119"/>
      <x:c r="E127" s="119"/>
      <x:c r="F127" s="119"/>
      <x:c r="G127" s="119"/>
      <x:c r="H127" s="119"/>
      <x:c r="I127" s="119"/>
      <x:c r="J127" s="119"/>
      <x:c r="K127" s="119"/>
      <x:c r="L127" s="119"/>
      <x:c r="M127" s="119"/>
      <x:c r="N127" s="119"/>
      <x:c r="O127" s="119"/>
      <x:c r="P127" s="119"/>
    </x:row>
    <x:row r="128">
      <x:c r="A128" s="119"/>
      <x:c r="B128" s="119"/>
      <x:c r="C128" s="119"/>
      <x:c r="D128" s="119"/>
      <x:c r="E128" s="119"/>
      <x:c r="F128" s="119"/>
      <x:c r="G128" s="119"/>
      <x:c r="H128" s="119"/>
      <x:c r="I128" s="119"/>
      <x:c r="J128" s="119"/>
      <x:c r="K128" s="119"/>
      <x:c r="L128" s="119"/>
      <x:c r="M128" s="119"/>
      <x:c r="N128" s="119"/>
      <x:c r="O128" s="119"/>
      <x:c r="P128" s="119"/>
    </x:row>
    <x:row r="129">
      <x:c r="A129" s="119"/>
      <x:c r="B129" s="119"/>
      <x:c r="C129" s="119"/>
      <x:c r="D129" s="119"/>
      <x:c r="E129" s="119"/>
      <x:c r="F129" s="119"/>
      <x:c r="G129" s="119"/>
      <x:c r="H129" s="119"/>
      <x:c r="I129" s="119"/>
      <x:c r="J129" s="119"/>
      <x:c r="K129" s="119"/>
      <x:c r="L129" s="119"/>
      <x:c r="M129" s="119"/>
      <x:c r="N129" s="119"/>
      <x:c r="O129" s="119"/>
      <x:c r="P129" s="119"/>
    </x:row>
    <x:row r="130">
      <x:c r="A130" s="119"/>
      <x:c r="B130" s="119"/>
      <x:c r="C130" s="119"/>
      <x:c r="D130" s="119"/>
      <x:c r="E130" s="119"/>
      <x:c r="F130" s="119"/>
      <x:c r="G130" s="119"/>
      <x:c r="H130" s="119"/>
      <x:c r="I130" s="119"/>
      <x:c r="J130" s="119"/>
      <x:c r="K130" s="119"/>
      <x:c r="L130" s="119"/>
      <x:c r="M130" s="119"/>
      <x:c r="N130" s="119"/>
      <x:c r="O130" s="119"/>
      <x:c r="P130" s="119"/>
    </x:row>
    <x:row r="131">
      <x:c r="A131" s="119"/>
      <x:c r="B131" s="119"/>
      <x:c r="C131" s="119"/>
      <x:c r="D131" s="119"/>
      <x:c r="E131" s="119"/>
      <x:c r="F131" s="119"/>
      <x:c r="G131" s="119"/>
      <x:c r="H131" s="119"/>
      <x:c r="I131" s="119"/>
      <x:c r="J131" s="119"/>
      <x:c r="K131" s="119"/>
      <x:c r="L131" s="119"/>
      <x:c r="M131" s="119"/>
      <x:c r="N131" s="119"/>
      <x:c r="O131" s="119"/>
      <x:c r="P131" s="119"/>
    </x:row>
    <x:row r="132">
      <x:c r="A132" s="119"/>
      <x:c r="B132" s="119"/>
      <x:c r="C132" s="119"/>
      <x:c r="D132" s="119"/>
      <x:c r="E132" s="119"/>
      <x:c r="F132" s="119"/>
      <x:c r="G132" s="119"/>
      <x:c r="H132" s="119"/>
      <x:c r="I132" s="119"/>
      <x:c r="J132" s="119"/>
      <x:c r="K132" s="119"/>
      <x:c r="L132" s="119"/>
      <x:c r="M132" s="119"/>
      <x:c r="N132" s="119"/>
      <x:c r="O132" s="119"/>
      <x:c r="P132" s="119"/>
    </x:row>
    <x:row r="133">
      <x:c r="A133" s="119"/>
      <x:c r="B133" s="119"/>
      <x:c r="C133" s="119"/>
      <x:c r="D133" s="119"/>
      <x:c r="E133" s="119"/>
      <x:c r="F133" s="119"/>
      <x:c r="G133" s="119"/>
      <x:c r="H133" s="119"/>
      <x:c r="I133" s="119"/>
      <x:c r="J133" s="119"/>
      <x:c r="K133" s="119"/>
      <x:c r="L133" s="119"/>
      <x:c r="M133" s="119"/>
      <x:c r="N133" s="119"/>
      <x:c r="O133" s="119"/>
      <x:c r="P133" s="119"/>
    </x:row>
    <x:row r="134">
      <x:c r="A134" s="119"/>
      <x:c r="B134" s="119"/>
      <x:c r="C134" s="119"/>
      <x:c r="D134" s="119"/>
      <x:c r="E134" s="119"/>
      <x:c r="F134" s="119"/>
      <x:c r="G134" s="119"/>
      <x:c r="H134" s="119"/>
      <x:c r="I134" s="119"/>
      <x:c r="J134" s="119"/>
      <x:c r="K134" s="119"/>
      <x:c r="L134" s="119"/>
      <x:c r="M134" s="119"/>
      <x:c r="N134" s="119"/>
      <x:c r="O134" s="119"/>
      <x:c r="P134" s="119"/>
    </x:row>
    <x:row r="135">
      <x:c r="A135" s="119"/>
      <x:c r="B135" s="119"/>
      <x:c r="C135" s="119"/>
      <x:c r="D135" s="119"/>
      <x:c r="E135" s="119"/>
      <x:c r="F135" s="119"/>
      <x:c r="G135" s="119"/>
      <x:c r="H135" s="119"/>
      <x:c r="I135" s="119"/>
      <x:c r="J135" s="119"/>
      <x:c r="K135" s="119"/>
      <x:c r="L135" s="119"/>
      <x:c r="M135" s="119"/>
      <x:c r="N135" s="119"/>
      <x:c r="O135" s="119"/>
      <x:c r="P135" s="119"/>
    </x:row>
    <x:row r="136">
      <x:c r="A136" s="119"/>
      <x:c r="B136" s="119"/>
      <x:c r="C136" s="119"/>
      <x:c r="D136" s="119"/>
      <x:c r="E136" s="119"/>
      <x:c r="F136" s="119"/>
      <x:c r="G136" s="119"/>
      <x:c r="H136" s="119"/>
      <x:c r="I136" s="119"/>
      <x:c r="J136" s="119"/>
      <x:c r="K136" s="119"/>
      <x:c r="L136" s="119"/>
      <x:c r="M136" s="119"/>
      <x:c r="N136" s="119"/>
      <x:c r="O136" s="119"/>
      <x:c r="P136" s="119"/>
    </x:row>
    <x:row r="137">
      <x:c r="A137" s="119"/>
      <x:c r="B137" s="119"/>
      <x:c r="C137" s="119"/>
      <x:c r="D137" s="119"/>
      <x:c r="E137" s="119"/>
      <x:c r="F137" s="119"/>
      <x:c r="G137" s="119"/>
      <x:c r="H137" s="119"/>
      <x:c r="I137" s="119"/>
      <x:c r="J137" s="119"/>
      <x:c r="K137" s="119"/>
      <x:c r="L137" s="119"/>
      <x:c r="M137" s="119"/>
      <x:c r="N137" s="119"/>
      <x:c r="O137" s="119"/>
      <x:c r="P137" s="119"/>
    </x:row>
    <x:row r="138">
      <x:c r="A138" s="119"/>
      <x:c r="B138" s="119"/>
      <x:c r="C138" s="119"/>
      <x:c r="D138" s="119"/>
      <x:c r="E138" s="119"/>
      <x:c r="F138" s="119"/>
      <x:c r="G138" s="119"/>
      <x:c r="H138" s="119"/>
      <x:c r="I138" s="119"/>
      <x:c r="J138" s="119"/>
      <x:c r="K138" s="119"/>
      <x:c r="L138" s="119"/>
      <x:c r="M138" s="119"/>
      <x:c r="N138" s="119"/>
      <x:c r="O138" s="119"/>
      <x:c r="P138" s="119"/>
    </x:row>
    <x:row r="139">
      <x:c r="A139" s="119"/>
      <x:c r="B139" s="119"/>
      <x:c r="C139" s="119"/>
      <x:c r="D139" s="119"/>
      <x:c r="E139" s="119"/>
      <x:c r="F139" s="119"/>
      <x:c r="G139" s="119"/>
      <x:c r="H139" s="119"/>
      <x:c r="I139" s="119"/>
      <x:c r="J139" s="119"/>
      <x:c r="K139" s="119"/>
      <x:c r="L139" s="119"/>
      <x:c r="M139" s="119"/>
      <x:c r="N139" s="119"/>
      <x:c r="O139" s="119"/>
      <x:c r="P139" s="119"/>
    </x:row>
    <x:row r="140">
      <x:c r="A140" s="119"/>
      <x:c r="B140" s="119"/>
      <x:c r="C140" s="119"/>
      <x:c r="D140" s="119"/>
      <x:c r="E140" s="119"/>
      <x:c r="F140" s="119"/>
      <x:c r="G140" s="119"/>
      <x:c r="H140" s="119"/>
      <x:c r="I140" s="119"/>
      <x:c r="J140" s="119"/>
      <x:c r="K140" s="119"/>
      <x:c r="L140" s="119"/>
      <x:c r="M140" s="119"/>
      <x:c r="N140" s="119"/>
      <x:c r="O140" s="119"/>
      <x:c r="P140" s="119"/>
    </x:row>
    <x:row r="141">
      <x:c r="A141" s="119"/>
      <x:c r="B141" s="119"/>
      <x:c r="C141" s="119"/>
      <x:c r="D141" s="119"/>
      <x:c r="E141" s="119"/>
      <x:c r="F141" s="119"/>
      <x:c r="G141" s="119"/>
      <x:c r="H141" s="119"/>
      <x:c r="I141" s="119"/>
      <x:c r="J141" s="119"/>
      <x:c r="K141" s="119"/>
      <x:c r="L141" s="119"/>
      <x:c r="M141" s="119"/>
      <x:c r="N141" s="119"/>
      <x:c r="O141" s="119"/>
      <x:c r="P141" s="119"/>
    </x:row>
    <x:row r="142">
      <x:c r="A142" s="119"/>
      <x:c r="B142" s="119"/>
      <x:c r="C142" s="119"/>
      <x:c r="D142" s="119"/>
      <x:c r="E142" s="119"/>
      <x:c r="F142" s="119"/>
      <x:c r="G142" s="119"/>
      <x:c r="H142" s="119"/>
      <x:c r="I142" s="119"/>
      <x:c r="J142" s="119"/>
      <x:c r="K142" s="119"/>
      <x:c r="L142" s="119"/>
      <x:c r="M142" s="119"/>
      <x:c r="N142" s="119"/>
      <x:c r="O142" s="119"/>
      <x:c r="P142" s="119"/>
    </x:row>
    <x:row r="143">
      <x:c r="A143" s="119"/>
      <x:c r="B143" s="119"/>
      <x:c r="C143" s="119"/>
      <x:c r="D143" s="119"/>
      <x:c r="E143" s="119"/>
      <x:c r="F143" s="119"/>
      <x:c r="G143" s="119"/>
      <x:c r="H143" s="119"/>
      <x:c r="I143" s="119"/>
      <x:c r="J143" s="119"/>
      <x:c r="K143" s="119"/>
      <x:c r="L143" s="119"/>
      <x:c r="M143" s="119"/>
      <x:c r="N143" s="119"/>
      <x:c r="O143" s="119"/>
      <x:c r="P143" s="119"/>
    </x:row>
    <x:row r="144">
      <x:c r="A144" s="119"/>
      <x:c r="B144" s="119"/>
      <x:c r="C144" s="119"/>
      <x:c r="D144" s="119"/>
      <x:c r="E144" s="119"/>
      <x:c r="F144" s="119"/>
      <x:c r="G144" s="119"/>
      <x:c r="H144" s="119"/>
      <x:c r="I144" s="119"/>
      <x:c r="J144" s="119"/>
      <x:c r="K144" s="119"/>
      <x:c r="L144" s="119"/>
      <x:c r="M144" s="119"/>
      <x:c r="N144" s="119"/>
      <x:c r="O144" s="119"/>
      <x:c r="P144" s="119"/>
    </x:row>
    <x:row r="145">
      <x:c r="A145" s="119"/>
      <x:c r="B145" s="119"/>
      <x:c r="C145" s="119"/>
      <x:c r="D145" s="119"/>
      <x:c r="E145" s="119"/>
      <x:c r="F145" s="119"/>
      <x:c r="G145" s="119"/>
      <x:c r="H145" s="119"/>
      <x:c r="I145" s="119"/>
      <x:c r="J145" s="119"/>
      <x:c r="K145" s="119"/>
      <x:c r="L145" s="119"/>
      <x:c r="M145" s="119"/>
      <x:c r="N145" s="119"/>
      <x:c r="O145" s="119"/>
      <x:c r="P145" s="119"/>
    </x:row>
    <x:row r="146">
      <x:c r="A146" s="119"/>
      <x:c r="B146" s="119"/>
      <x:c r="C146" s="119"/>
      <x:c r="D146" s="119"/>
      <x:c r="E146" s="119"/>
      <x:c r="F146" s="119"/>
      <x:c r="G146" s="119"/>
      <x:c r="H146" s="119"/>
      <x:c r="I146" s="119"/>
      <x:c r="J146" s="119"/>
      <x:c r="K146" s="119"/>
      <x:c r="L146" s="119"/>
      <x:c r="M146" s="119"/>
      <x:c r="N146" s="119"/>
      <x:c r="O146" s="119"/>
      <x:c r="P146" s="119"/>
    </x:row>
    <x:row r="147">
      <x:c r="A147" s="119"/>
      <x:c r="B147" s="119"/>
      <x:c r="C147" s="119"/>
      <x:c r="D147" s="119"/>
      <x:c r="E147" s="119"/>
      <x:c r="F147" s="119"/>
      <x:c r="G147" s="119"/>
      <x:c r="H147" s="119"/>
      <x:c r="I147" s="119"/>
      <x:c r="J147" s="119"/>
      <x:c r="K147" s="119"/>
      <x:c r="L147" s="119"/>
      <x:c r="M147" s="119"/>
      <x:c r="N147" s="119"/>
      <x:c r="O147" s="119"/>
      <x:c r="P147" s="119"/>
    </x:row>
    <x:row r="148">
      <x:c r="A148" s="119"/>
      <x:c r="B148" s="119"/>
      <x:c r="C148" s="119"/>
      <x:c r="D148" s="119"/>
      <x:c r="E148" s="119"/>
      <x:c r="F148" s="119"/>
      <x:c r="G148" s="119"/>
      <x:c r="H148" s="119"/>
      <x:c r="I148" s="119"/>
      <x:c r="J148" s="119"/>
      <x:c r="K148" s="119"/>
      <x:c r="L148" s="119"/>
      <x:c r="M148" s="119"/>
      <x:c r="N148" s="119"/>
      <x:c r="O148" s="119"/>
      <x:c r="P148" s="119"/>
    </x:row>
    <x:row r="149">
      <x:c r="A149" s="119"/>
      <x:c r="B149" s="119"/>
      <x:c r="C149" s="119"/>
      <x:c r="D149" s="119"/>
      <x:c r="E149" s="119"/>
      <x:c r="F149" s="119"/>
      <x:c r="G149" s="119"/>
      <x:c r="H149" s="119"/>
      <x:c r="I149" s="119"/>
      <x:c r="J149" s="119"/>
      <x:c r="K149" s="119"/>
      <x:c r="L149" s="119"/>
      <x:c r="M149" s="119"/>
      <x:c r="N149" s="119"/>
      <x:c r="O149" s="119"/>
      <x:c r="P149" s="119"/>
    </x:row>
    <x:row r="150">
      <x:c r="A150" s="119"/>
      <x:c r="B150" s="119"/>
      <x:c r="C150" s="119"/>
      <x:c r="D150" s="119"/>
      <x:c r="E150" s="119"/>
      <x:c r="F150" s="119"/>
      <x:c r="G150" s="119"/>
      <x:c r="H150" s="119"/>
      <x:c r="I150" s="119"/>
      <x:c r="J150" s="119"/>
      <x:c r="K150" s="119"/>
      <x:c r="L150" s="119"/>
      <x:c r="M150" s="119"/>
      <x:c r="N150" s="119"/>
      <x:c r="O150" s="119"/>
      <x:c r="P150" s="119"/>
    </x:row>
    <x:row r="151">
      <x:c r="A151" s="119"/>
      <x:c r="B151" s="119"/>
      <x:c r="C151" s="119"/>
      <x:c r="D151" s="119"/>
      <x:c r="E151" s="119"/>
      <x:c r="F151" s="119"/>
      <x:c r="G151" s="119"/>
      <x:c r="H151" s="119"/>
      <x:c r="I151" s="119"/>
      <x:c r="J151" s="119"/>
      <x:c r="K151" s="119"/>
      <x:c r="L151" s="119"/>
      <x:c r="M151" s="119"/>
      <x:c r="N151" s="119"/>
      <x:c r="O151" s="119"/>
      <x:c r="P151" s="119"/>
    </x:row>
    <x:row r="152">
      <x:c r="A152" s="119"/>
      <x:c r="B152" s="119"/>
      <x:c r="C152" s="119"/>
      <x:c r="D152" s="119"/>
      <x:c r="E152" s="119"/>
      <x:c r="F152" s="119"/>
      <x:c r="G152" s="119"/>
      <x:c r="H152" s="119"/>
      <x:c r="I152" s="119"/>
      <x:c r="J152" s="119"/>
      <x:c r="K152" s="119"/>
      <x:c r="L152" s="119"/>
      <x:c r="M152" s="119"/>
      <x:c r="N152" s="119"/>
      <x:c r="O152" s="119"/>
      <x:c r="P152" s="119"/>
    </x:row>
    <x:row r="153">
      <x:c r="A153" s="119"/>
      <x:c r="B153" s="119"/>
      <x:c r="C153" s="119"/>
      <x:c r="D153" s="119"/>
      <x:c r="E153" s="119"/>
      <x:c r="F153" s="119"/>
      <x:c r="G153" s="119"/>
      <x:c r="H153" s="119"/>
      <x:c r="I153" s="119"/>
      <x:c r="J153" s="119"/>
      <x:c r="K153" s="119"/>
      <x:c r="L153" s="119"/>
      <x:c r="M153" s="119"/>
      <x:c r="N153" s="119"/>
      <x:c r="O153" s="119"/>
      <x:c r="P153" s="119"/>
    </x:row>
    <x:row r="154">
      <x:c r="A154" s="119"/>
      <x:c r="B154" s="119"/>
      <x:c r="C154" s="119"/>
      <x:c r="D154" s="119"/>
      <x:c r="E154" s="119"/>
      <x:c r="F154" s="119"/>
      <x:c r="G154" s="119"/>
      <x:c r="H154" s="119"/>
      <x:c r="I154" s="119"/>
      <x:c r="J154" s="119"/>
      <x:c r="K154" s="119"/>
      <x:c r="L154" s="119"/>
      <x:c r="M154" s="119"/>
      <x:c r="N154" s="119"/>
      <x:c r="O154" s="119"/>
      <x:c r="P154" s="119"/>
    </x:row>
    <x:row r="155">
      <x:c r="A155" s="119"/>
      <x:c r="B155" s="119"/>
      <x:c r="C155" s="119"/>
      <x:c r="D155" s="119"/>
      <x:c r="E155" s="119"/>
      <x:c r="F155" s="119"/>
      <x:c r="G155" s="119"/>
      <x:c r="H155" s="119"/>
      <x:c r="I155" s="119"/>
      <x:c r="J155" s="119"/>
      <x:c r="K155" s="119"/>
      <x:c r="L155" s="119"/>
      <x:c r="M155" s="119"/>
      <x:c r="N155" s="119"/>
      <x:c r="O155" s="119"/>
      <x:c r="P155" s="119"/>
    </x:row>
    <x:row r="156">
      <x:c r="A156" s="119"/>
      <x:c r="B156" s="119"/>
      <x:c r="C156" s="119"/>
      <x:c r="D156" s="119"/>
      <x:c r="E156" s="119"/>
      <x:c r="F156" s="119"/>
      <x:c r="G156" s="119"/>
      <x:c r="H156" s="119"/>
      <x:c r="I156" s="119"/>
      <x:c r="J156" s="119"/>
      <x:c r="K156" s="119"/>
      <x:c r="L156" s="119"/>
      <x:c r="M156" s="119"/>
      <x:c r="N156" s="119"/>
      <x:c r="O156" s="119"/>
      <x:c r="P156" s="119"/>
    </x:row>
    <x:row r="157">
      <x:c r="A157" s="119"/>
      <x:c r="B157" s="119"/>
      <x:c r="C157" s="119"/>
      <x:c r="D157" s="119"/>
      <x:c r="E157" s="119"/>
      <x:c r="F157" s="119"/>
      <x:c r="G157" s="119"/>
      <x:c r="H157" s="119"/>
      <x:c r="I157" s="119"/>
      <x:c r="J157" s="119"/>
      <x:c r="K157" s="119"/>
      <x:c r="L157" s="119"/>
      <x:c r="M157" s="119"/>
      <x:c r="N157" s="119"/>
      <x:c r="O157" s="119"/>
      <x:c r="P157" s="119"/>
    </x:row>
    <x:row r="158">
      <x:c r="A158" s="119"/>
      <x:c r="B158" s="119"/>
      <x:c r="C158" s="119"/>
      <x:c r="D158" s="119"/>
      <x:c r="E158" s="119"/>
      <x:c r="F158" s="119"/>
      <x:c r="G158" s="119"/>
      <x:c r="H158" s="119"/>
      <x:c r="I158" s="119"/>
      <x:c r="J158" s="119"/>
      <x:c r="K158" s="119"/>
      <x:c r="L158" s="119"/>
      <x:c r="M158" s="119"/>
      <x:c r="N158" s="119"/>
      <x:c r="O158" s="119"/>
      <x:c r="P158" s="119"/>
    </x:row>
    <x:row r="159">
      <x:c r="A159" s="119"/>
      <x:c r="B159" s="119"/>
      <x:c r="C159" s="119"/>
      <x:c r="D159" s="119"/>
      <x:c r="E159" s="119"/>
      <x:c r="F159" s="119"/>
      <x:c r="G159" s="119"/>
      <x:c r="H159" s="119"/>
      <x:c r="I159" s="119"/>
      <x:c r="J159" s="119"/>
      <x:c r="K159" s="119"/>
      <x:c r="L159" s="119"/>
      <x:c r="M159" s="119"/>
      <x:c r="N159" s="119"/>
      <x:c r="O159" s="119"/>
      <x:c r="P159" s="119"/>
    </x:row>
    <x:row r="160">
      <x:c r="A160" s="119"/>
      <x:c r="B160" s="119"/>
      <x:c r="C160" s="119"/>
      <x:c r="D160" s="119"/>
      <x:c r="E160" s="119"/>
      <x:c r="F160" s="119"/>
      <x:c r="G160" s="119"/>
      <x:c r="H160" s="119"/>
      <x:c r="I160" s="119"/>
      <x:c r="J160" s="119"/>
      <x:c r="K160" s="119"/>
      <x:c r="L160" s="119"/>
      <x:c r="M160" s="119"/>
      <x:c r="N160" s="119"/>
      <x:c r="O160" s="119"/>
      <x:c r="P160" s="119"/>
    </x:row>
    <x:row r="161">
      <x:c r="A161" s="119"/>
      <x:c r="B161" s="119"/>
      <x:c r="C161" s="119"/>
      <x:c r="D161" s="119"/>
      <x:c r="E161" s="119"/>
      <x:c r="F161" s="119"/>
      <x:c r="G161" s="119"/>
      <x:c r="H161" s="119"/>
      <x:c r="I161" s="119"/>
      <x:c r="J161" s="119"/>
      <x:c r="K161" s="119"/>
      <x:c r="L161" s="119"/>
      <x:c r="M161" s="119"/>
      <x:c r="N161" s="119"/>
      <x:c r="O161" s="119"/>
      <x:c r="P161" s="119"/>
    </x:row>
    <x:row r="162">
      <x:c r="A162" s="119"/>
      <x:c r="B162" s="119"/>
      <x:c r="C162" s="119"/>
      <x:c r="D162" s="119"/>
      <x:c r="E162" s="119"/>
      <x:c r="F162" s="119"/>
      <x:c r="G162" s="119"/>
      <x:c r="H162" s="119"/>
      <x:c r="I162" s="119"/>
      <x:c r="J162" s="119"/>
      <x:c r="K162" s="119"/>
      <x:c r="L162" s="119"/>
      <x:c r="M162" s="119"/>
      <x:c r="N162" s="119"/>
      <x:c r="O162" s="119"/>
      <x:c r="P162" s="119"/>
    </x:row>
    <x:row r="163">
      <x:c r="A163" s="119"/>
      <x:c r="B163" s="119"/>
      <x:c r="C163" s="119"/>
      <x:c r="D163" s="119"/>
      <x:c r="E163" s="119"/>
      <x:c r="F163" s="119"/>
      <x:c r="G163" s="119"/>
      <x:c r="H163" s="119"/>
      <x:c r="I163" s="119"/>
      <x:c r="J163" s="119"/>
      <x:c r="K163" s="119"/>
      <x:c r="L163" s="119"/>
      <x:c r="M163" s="119"/>
      <x:c r="N163" s="119"/>
      <x:c r="O163" s="119"/>
      <x:c r="P163" s="119"/>
    </x:row>
    <x:row r="164">
      <x:c r="A164" s="119"/>
      <x:c r="B164" s="119"/>
      <x:c r="C164" s="119"/>
      <x:c r="D164" s="119"/>
      <x:c r="E164" s="119"/>
      <x:c r="F164" s="119"/>
      <x:c r="G164" s="119"/>
      <x:c r="H164" s="119"/>
      <x:c r="I164" s="119"/>
      <x:c r="J164" s="119"/>
      <x:c r="K164" s="119"/>
      <x:c r="L164" s="119"/>
      <x:c r="M164" s="119"/>
      <x:c r="N164" s="119"/>
      <x:c r="O164" s="119"/>
      <x:c r="P164" s="119"/>
    </x:row>
    <x:row r="165">
      <x:c r="A165" s="119"/>
      <x:c r="B165" s="119"/>
      <x:c r="C165" s="119"/>
      <x:c r="D165" s="119"/>
      <x:c r="E165" s="119"/>
      <x:c r="F165" s="119"/>
      <x:c r="G165" s="119"/>
      <x:c r="H165" s="119"/>
      <x:c r="I165" s="119"/>
      <x:c r="J165" s="119"/>
      <x:c r="K165" s="119"/>
      <x:c r="L165" s="119"/>
      <x:c r="M165" s="119"/>
      <x:c r="N165" s="119"/>
      <x:c r="O165" s="119"/>
      <x:c r="P165" s="119"/>
    </x:row>
    <x:row r="166">
      <x:c r="A166" s="119"/>
      <x:c r="B166" s="119"/>
      <x:c r="C166" s="119"/>
      <x:c r="D166" s="119"/>
      <x:c r="E166" s="119"/>
      <x:c r="F166" s="119"/>
      <x:c r="G166" s="119"/>
      <x:c r="H166" s="119"/>
      <x:c r="I166" s="119"/>
      <x:c r="J166" s="119"/>
      <x:c r="K166" s="119"/>
      <x:c r="L166" s="119"/>
      <x:c r="M166" s="119"/>
      <x:c r="N166" s="119"/>
      <x:c r="O166" s="119"/>
      <x:c r="P166" s="119"/>
    </x:row>
    <x:row r="167">
      <x:c r="A167" s="119"/>
      <x:c r="B167" s="119"/>
      <x:c r="C167" s="119"/>
      <x:c r="D167" s="119"/>
      <x:c r="E167" s="119"/>
      <x:c r="F167" s="119"/>
      <x:c r="G167" s="119"/>
      <x:c r="H167" s="119"/>
      <x:c r="I167" s="119"/>
      <x:c r="J167" s="119"/>
      <x:c r="K167" s="119"/>
      <x:c r="L167" s="119"/>
      <x:c r="M167" s="119"/>
      <x:c r="N167" s="119"/>
      <x:c r="O167" s="119"/>
      <x:c r="P167" s="119"/>
    </x:row>
    <x:row r="168">
      <x:c r="A168" s="119"/>
      <x:c r="B168" s="119"/>
      <x:c r="C168" s="119"/>
      <x:c r="D168" s="119"/>
      <x:c r="E168" s="119"/>
      <x:c r="F168" s="119"/>
      <x:c r="G168" s="119"/>
      <x:c r="H168" s="119"/>
      <x:c r="I168" s="119"/>
      <x:c r="J168" s="119"/>
      <x:c r="K168" s="119"/>
      <x:c r="L168" s="119"/>
      <x:c r="M168" s="119"/>
      <x:c r="N168" s="119"/>
      <x:c r="O168" s="119"/>
      <x:c r="P168" s="119"/>
    </x:row>
    <x:row r="169">
      <x:c r="A169" s="119"/>
      <x:c r="B169" s="119"/>
      <x:c r="C169" s="119"/>
      <x:c r="D169" s="119"/>
      <x:c r="E169" s="119"/>
      <x:c r="F169" s="119"/>
      <x:c r="G169" s="119"/>
      <x:c r="H169" s="119"/>
      <x:c r="I169" s="119"/>
      <x:c r="J169" s="119"/>
      <x:c r="K169" s="119"/>
      <x:c r="L169" s="119"/>
      <x:c r="M169" s="119"/>
      <x:c r="N169" s="119"/>
      <x:c r="O169" s="119"/>
      <x:c r="P169" s="119"/>
    </x:row>
    <x:row r="170">
      <x:c r="A170" s="119"/>
      <x:c r="B170" s="119"/>
      <x:c r="C170" s="119"/>
      <x:c r="D170" s="119"/>
      <x:c r="E170" s="119"/>
      <x:c r="F170" s="119"/>
      <x:c r="G170" s="119"/>
      <x:c r="H170" s="119"/>
      <x:c r="I170" s="119"/>
      <x:c r="J170" s="119"/>
      <x:c r="K170" s="119"/>
      <x:c r="L170" s="119"/>
      <x:c r="M170" s="119"/>
      <x:c r="N170" s="119"/>
      <x:c r="O170" s="119"/>
      <x:c r="P170" s="119"/>
    </x:row>
    <x:row r="171">
      <x:c r="A171" s="119"/>
      <x:c r="B171" s="119"/>
      <x:c r="C171" s="119"/>
      <x:c r="D171" s="119"/>
      <x:c r="E171" s="119"/>
      <x:c r="F171" s="119"/>
      <x:c r="G171" s="119"/>
      <x:c r="H171" s="119"/>
      <x:c r="I171" s="119"/>
      <x:c r="J171" s="119"/>
      <x:c r="K171" s="119"/>
      <x:c r="L171" s="119"/>
      <x:c r="M171" s="119"/>
      <x:c r="N171" s="119"/>
      <x:c r="O171" s="119"/>
      <x:c r="P171" s="119"/>
    </x:row>
    <x:row r="172">
      <x:c r="A172" s="119"/>
      <x:c r="B172" s="119"/>
      <x:c r="C172" s="119"/>
      <x:c r="D172" s="119"/>
      <x:c r="E172" s="119"/>
      <x:c r="F172" s="119"/>
      <x:c r="G172" s="119"/>
      <x:c r="H172" s="119"/>
      <x:c r="I172" s="119"/>
      <x:c r="J172" s="119"/>
      <x:c r="K172" s="119"/>
      <x:c r="L172" s="119"/>
      <x:c r="M172" s="119"/>
      <x:c r="N172" s="119"/>
      <x:c r="O172" s="119"/>
      <x:c r="P172" s="119"/>
    </x:row>
    <x:row r="173">
      <x:c r="A173" s="119"/>
      <x:c r="B173" s="119"/>
      <x:c r="C173" s="119"/>
      <x:c r="D173" s="119"/>
      <x:c r="E173" s="119"/>
      <x:c r="F173" s="119"/>
      <x:c r="G173" s="119"/>
      <x:c r="H173" s="119"/>
      <x:c r="I173" s="119"/>
      <x:c r="J173" s="119"/>
      <x:c r="K173" s="119"/>
      <x:c r="L173" s="119"/>
      <x:c r="M173" s="119"/>
      <x:c r="N173" s="119"/>
      <x:c r="O173" s="119"/>
      <x:c r="P173" s="119"/>
    </x:row>
    <x:row r="174">
      <x:c r="A174" s="119"/>
      <x:c r="B174" s="119"/>
      <x:c r="C174" s="119"/>
      <x:c r="D174" s="119"/>
      <x:c r="E174" s="119"/>
      <x:c r="F174" s="119"/>
      <x:c r="G174" s="119"/>
      <x:c r="H174" s="119"/>
      <x:c r="I174" s="119"/>
      <x:c r="J174" s="119"/>
      <x:c r="K174" s="119"/>
      <x:c r="L174" s="119"/>
      <x:c r="M174" s="119"/>
      <x:c r="N174" s="119"/>
      <x:c r="O174" s="119"/>
      <x:c r="P174" s="119"/>
    </x:row>
    <x:row r="175">
      <x:c r="A175" s="119"/>
      <x:c r="B175" s="119"/>
      <x:c r="C175" s="119"/>
      <x:c r="D175" s="119"/>
      <x:c r="E175" s="119"/>
      <x:c r="F175" s="119"/>
      <x:c r="G175" s="119"/>
      <x:c r="H175" s="119"/>
      <x:c r="I175" s="119"/>
      <x:c r="J175" s="119"/>
      <x:c r="K175" s="119"/>
      <x:c r="L175" s="119"/>
      <x:c r="M175" s="119"/>
      <x:c r="N175" s="119"/>
      <x:c r="O175" s="119"/>
      <x:c r="P175" s="119"/>
    </x:row>
    <x:row r="176">
      <x:c r="A176" s="119"/>
      <x:c r="B176" s="119"/>
      <x:c r="C176" s="119"/>
      <x:c r="D176" s="119"/>
      <x:c r="E176" s="119"/>
      <x:c r="F176" s="119"/>
      <x:c r="G176" s="119"/>
      <x:c r="H176" s="119"/>
      <x:c r="I176" s="119"/>
      <x:c r="J176" s="119"/>
      <x:c r="K176" s="119"/>
      <x:c r="L176" s="119"/>
      <x:c r="M176" s="119"/>
      <x:c r="N176" s="119"/>
      <x:c r="O176" s="119"/>
      <x:c r="P176" s="119"/>
    </x:row>
    <x:row r="177">
      <x:c r="A177" s="119"/>
      <x:c r="B177" s="119"/>
      <x:c r="C177" s="119"/>
      <x:c r="D177" s="119"/>
      <x:c r="E177" s="119"/>
      <x:c r="F177" s="119"/>
      <x:c r="G177" s="119"/>
      <x:c r="H177" s="119"/>
      <x:c r="I177" s="119"/>
      <x:c r="J177" s="119"/>
      <x:c r="K177" s="119"/>
      <x:c r="L177" s="119"/>
      <x:c r="M177" s="119"/>
      <x:c r="N177" s="119"/>
      <x:c r="O177" s="119"/>
      <x:c r="P177" s="119"/>
    </x:row>
    <x:row r="178">
      <x:c r="A178" s="119"/>
      <x:c r="B178" s="119"/>
      <x:c r="C178" s="119"/>
      <x:c r="D178" s="119"/>
      <x:c r="E178" s="119"/>
      <x:c r="F178" s="119"/>
      <x:c r="G178" s="119"/>
      <x:c r="H178" s="119"/>
      <x:c r="I178" s="119"/>
      <x:c r="J178" s="119"/>
      <x:c r="K178" s="119"/>
      <x:c r="L178" s="119"/>
      <x:c r="M178" s="119"/>
      <x:c r="N178" s="119"/>
      <x:c r="O178" s="119"/>
      <x:c r="P178" s="119"/>
    </x:row>
    <x:row r="179">
      <x:c r="A179" s="119"/>
      <x:c r="B179" s="119"/>
      <x:c r="C179" s="119"/>
      <x:c r="D179" s="119"/>
      <x:c r="E179" s="119"/>
      <x:c r="F179" s="119"/>
      <x:c r="G179" s="119"/>
      <x:c r="H179" s="119"/>
      <x:c r="I179" s="119"/>
      <x:c r="J179" s="119"/>
      <x:c r="K179" s="119"/>
      <x:c r="L179" s="119"/>
      <x:c r="M179" s="119"/>
      <x:c r="N179" s="119"/>
      <x:c r="O179" s="119"/>
      <x:c r="P179" s="119"/>
    </x:row>
    <x:row r="180">
      <x:c r="A180" s="119"/>
      <x:c r="B180" s="119"/>
      <x:c r="C180" s="119"/>
      <x:c r="D180" s="119"/>
      <x:c r="E180" s="119"/>
      <x:c r="F180" s="119"/>
      <x:c r="G180" s="119"/>
      <x:c r="H180" s="119"/>
      <x:c r="I180" s="119"/>
      <x:c r="J180" s="119"/>
      <x:c r="K180" s="119"/>
      <x:c r="L180" s="119"/>
      <x:c r="M180" s="119"/>
      <x:c r="N180" s="119"/>
      <x:c r="O180" s="119"/>
      <x:c r="P180" s="119"/>
    </x:row>
    <x:row r="181">
      <x:c r="A181" s="119"/>
      <x:c r="B181" s="119"/>
      <x:c r="C181" s="119"/>
      <x:c r="D181" s="119"/>
      <x:c r="E181" s="119"/>
      <x:c r="F181" s="119"/>
      <x:c r="G181" s="119"/>
      <x:c r="H181" s="119"/>
      <x:c r="I181" s="119"/>
      <x:c r="J181" s="119"/>
      <x:c r="K181" s="119"/>
      <x:c r="L181" s="119"/>
      <x:c r="M181" s="119"/>
      <x:c r="N181" s="119"/>
      <x:c r="O181" s="119"/>
      <x:c r="P181" s="119"/>
    </x:row>
    <x:row r="182">
      <x:c r="A182" s="119"/>
      <x:c r="B182" s="119"/>
      <x:c r="C182" s="119"/>
      <x:c r="D182" s="119"/>
      <x:c r="E182" s="119"/>
      <x:c r="F182" s="119"/>
      <x:c r="G182" s="119"/>
      <x:c r="H182" s="119"/>
      <x:c r="I182" s="119"/>
      <x:c r="J182" s="119"/>
      <x:c r="K182" s="119"/>
      <x:c r="L182" s="119"/>
      <x:c r="M182" s="119"/>
      <x:c r="N182" s="119"/>
      <x:c r="O182" s="119"/>
      <x:c r="P182" s="119"/>
    </x:row>
    <x:row r="183">
      <x:c r="A183" s="119"/>
      <x:c r="B183" s="119"/>
      <x:c r="C183" s="119"/>
      <x:c r="D183" s="119"/>
      <x:c r="E183" s="119"/>
      <x:c r="F183" s="119"/>
      <x:c r="G183" s="119"/>
      <x:c r="H183" s="119"/>
      <x:c r="I183" s="119"/>
      <x:c r="J183" s="119"/>
      <x:c r="K183" s="119"/>
      <x:c r="L183" s="119"/>
      <x:c r="M183" s="119"/>
      <x:c r="N183" s="119"/>
      <x:c r="O183" s="119"/>
      <x:c r="P183" s="119"/>
    </x:row>
    <x:row r="184">
      <x:c r="A184" s="119"/>
      <x:c r="B184" s="119"/>
      <x:c r="C184" s="119"/>
      <x:c r="D184" s="119"/>
      <x:c r="E184" s="119"/>
      <x:c r="F184" s="119"/>
      <x:c r="G184" s="119"/>
      <x:c r="H184" s="119"/>
      <x:c r="I184" s="119"/>
      <x:c r="J184" s="119"/>
      <x:c r="K184" s="119"/>
      <x:c r="L184" s="119"/>
      <x:c r="M184" s="119"/>
      <x:c r="N184" s="119"/>
      <x:c r="O184" s="119"/>
      <x:c r="P184" s="119"/>
    </x:row>
    <x:row r="185">
      <x:c r="A185" s="119"/>
      <x:c r="B185" s="119"/>
      <x:c r="C185" s="119"/>
      <x:c r="D185" s="119"/>
      <x:c r="E185" s="119"/>
      <x:c r="F185" s="119"/>
      <x:c r="G185" s="119"/>
      <x:c r="H185" s="119"/>
      <x:c r="I185" s="119"/>
      <x:c r="J185" s="119"/>
      <x:c r="K185" s="119"/>
      <x:c r="L185" s="119"/>
      <x:c r="M185" s="119"/>
      <x:c r="N185" s="119"/>
      <x:c r="O185" s="119"/>
      <x:c r="P185" s="119"/>
    </x:row>
    <x:row r="186">
      <x:c r="A186" s="119"/>
      <x:c r="B186" s="119"/>
      <x:c r="C186" s="119"/>
      <x:c r="D186" s="119"/>
      <x:c r="E186" s="119"/>
      <x:c r="F186" s="119"/>
      <x:c r="G186" s="119"/>
      <x:c r="H186" s="119"/>
      <x:c r="I186" s="119"/>
      <x:c r="J186" s="119"/>
      <x:c r="K186" s="119"/>
      <x:c r="L186" s="119"/>
      <x:c r="M186" s="119"/>
      <x:c r="N186" s="119"/>
      <x:c r="O186" s="119"/>
      <x:c r="P186" s="119"/>
    </x:row>
    <x:row r="187">
      <x:c r="A187" s="119"/>
      <x:c r="B187" s="119"/>
      <x:c r="C187" s="119"/>
      <x:c r="D187" s="119"/>
      <x:c r="E187" s="119"/>
      <x:c r="F187" s="119"/>
      <x:c r="G187" s="119"/>
      <x:c r="H187" s="119"/>
      <x:c r="I187" s="119"/>
      <x:c r="J187" s="119"/>
      <x:c r="K187" s="119"/>
      <x:c r="L187" s="119"/>
      <x:c r="M187" s="119"/>
      <x:c r="N187" s="119"/>
      <x:c r="O187" s="119"/>
      <x:c r="P187" s="119"/>
    </x:row>
    <x:row r="188">
      <x:c r="A188" s="119"/>
      <x:c r="B188" s="119"/>
      <x:c r="C188" s="119"/>
      <x:c r="D188" s="119"/>
      <x:c r="E188" s="119"/>
      <x:c r="F188" s="119"/>
      <x:c r="G188" s="119"/>
      <x:c r="H188" s="119"/>
      <x:c r="I188" s="119"/>
      <x:c r="J188" s="119"/>
      <x:c r="K188" s="119"/>
      <x:c r="L188" s="119"/>
      <x:c r="M188" s="119"/>
      <x:c r="N188" s="119"/>
      <x:c r="O188" s="119"/>
      <x:c r="P188" s="119"/>
    </x:row>
    <x:row r="189">
      <x:c r="A189" s="119"/>
      <x:c r="B189" s="119"/>
      <x:c r="C189" s="119"/>
      <x:c r="D189" s="119"/>
      <x:c r="E189" s="119"/>
      <x:c r="F189" s="119"/>
      <x:c r="G189" s="119"/>
      <x:c r="H189" s="119"/>
      <x:c r="I189" s="119"/>
      <x:c r="J189" s="119"/>
      <x:c r="K189" s="119"/>
      <x:c r="L189" s="119"/>
      <x:c r="M189" s="119"/>
      <x:c r="N189" s="119"/>
      <x:c r="O189" s="119"/>
      <x:c r="P189" s="119"/>
    </x:row>
    <x:row r="190">
      <x:c r="A190" s="119"/>
      <x:c r="B190" s="119"/>
      <x:c r="C190" s="119"/>
      <x:c r="D190" s="119"/>
      <x:c r="E190" s="119"/>
      <x:c r="F190" s="119"/>
      <x:c r="G190" s="119"/>
      <x:c r="H190" s="119"/>
      <x:c r="I190" s="119"/>
      <x:c r="J190" s="119"/>
      <x:c r="K190" s="119"/>
      <x:c r="L190" s="119"/>
      <x:c r="M190" s="119"/>
      <x:c r="N190" s="119"/>
      <x:c r="O190" s="119"/>
      <x:c r="P190" s="119"/>
    </x:row>
    <x:row r="191">
      <x:c r="A191" s="119"/>
      <x:c r="B191" s="119"/>
      <x:c r="C191" s="119"/>
      <x:c r="D191" s="119"/>
      <x:c r="E191" s="119"/>
      <x:c r="F191" s="119"/>
      <x:c r="G191" s="119"/>
      <x:c r="H191" s="119"/>
      <x:c r="I191" s="119"/>
      <x:c r="J191" s="119"/>
      <x:c r="K191" s="119"/>
      <x:c r="L191" s="119"/>
      <x:c r="M191" s="119"/>
      <x:c r="N191" s="119"/>
      <x:c r="O191" s="119"/>
      <x:c r="P191" s="119"/>
    </x:row>
    <x:row r="192">
      <x:c r="A192" s="119"/>
      <x:c r="B192" s="119"/>
      <x:c r="C192" s="119"/>
      <x:c r="D192" s="119"/>
      <x:c r="E192" s="119"/>
      <x:c r="F192" s="119"/>
      <x:c r="G192" s="119"/>
      <x:c r="H192" s="119"/>
      <x:c r="I192" s="119"/>
      <x:c r="J192" s="119"/>
      <x:c r="K192" s="119"/>
      <x:c r="L192" s="119"/>
      <x:c r="M192" s="119"/>
      <x:c r="N192" s="119"/>
      <x:c r="O192" s="119"/>
      <x:c r="P192" s="119"/>
    </x:row>
    <x:row r="193">
      <x:c r="A193" s="119"/>
      <x:c r="B193" s="119"/>
      <x:c r="C193" s="119"/>
      <x:c r="D193" s="119"/>
      <x:c r="E193" s="119"/>
      <x:c r="F193" s="119"/>
      <x:c r="G193" s="119"/>
      <x:c r="H193" s="119"/>
      <x:c r="I193" s="119"/>
      <x:c r="J193" s="119"/>
      <x:c r="K193" s="119"/>
      <x:c r="L193" s="119"/>
      <x:c r="M193" s="119"/>
      <x:c r="N193" s="119"/>
      <x:c r="O193" s="119"/>
      <x:c r="P193" s="119"/>
    </x:row>
    <x:row r="194">
      <x:c r="A194" s="119"/>
      <x:c r="B194" s="119"/>
      <x:c r="C194" s="119"/>
      <x:c r="D194" s="119"/>
      <x:c r="E194" s="119"/>
      <x:c r="F194" s="119"/>
      <x:c r="G194" s="119"/>
      <x:c r="H194" s="119"/>
      <x:c r="I194" s="119"/>
      <x:c r="J194" s="119"/>
      <x:c r="K194" s="119"/>
      <x:c r="L194" s="119"/>
      <x:c r="M194" s="119"/>
      <x:c r="N194" s="119"/>
      <x:c r="O194" s="119"/>
      <x:c r="P194" s="119"/>
    </x:row>
    <x:row r="195">
      <x:c r="A195" s="119"/>
      <x:c r="B195" s="119"/>
      <x:c r="C195" s="119"/>
      <x:c r="D195" s="119"/>
      <x:c r="E195" s="119"/>
      <x:c r="F195" s="119"/>
      <x:c r="G195" s="119"/>
      <x:c r="H195" s="119"/>
      <x:c r="I195" s="119"/>
      <x:c r="J195" s="119"/>
      <x:c r="K195" s="119"/>
      <x:c r="L195" s="119"/>
      <x:c r="M195" s="119"/>
      <x:c r="N195" s="119"/>
      <x:c r="O195" s="119"/>
      <x:c r="P195" s="119"/>
    </x:row>
    <x:row r="196">
      <x:c r="A196" s="119"/>
      <x:c r="B196" s="119"/>
      <x:c r="C196" s="119"/>
      <x:c r="D196" s="119"/>
      <x:c r="E196" s="119"/>
      <x:c r="F196" s="119"/>
      <x:c r="G196" s="119"/>
      <x:c r="H196" s="119"/>
      <x:c r="I196" s="119"/>
      <x:c r="J196" s="119"/>
      <x:c r="K196" s="119"/>
      <x:c r="L196" s="119"/>
      <x:c r="M196" s="119"/>
      <x:c r="N196" s="119"/>
      <x:c r="O196" s="119"/>
      <x:c r="P196" s="119"/>
    </x:row>
    <x:row r="197">
      <x:c r="A197" s="119"/>
      <x:c r="B197" s="119"/>
      <x:c r="C197" s="119"/>
      <x:c r="D197" s="119"/>
      <x:c r="E197" s="119"/>
      <x:c r="F197" s="119"/>
      <x:c r="G197" s="119"/>
      <x:c r="H197" s="119"/>
      <x:c r="I197" s="119"/>
      <x:c r="J197" s="119"/>
      <x:c r="K197" s="119"/>
      <x:c r="L197" s="119"/>
      <x:c r="M197" s="119"/>
      <x:c r="N197" s="119"/>
      <x:c r="O197" s="119"/>
      <x:c r="P197" s="119"/>
    </x:row>
    <x:row r="198">
      <x:c r="A198" s="119"/>
      <x:c r="B198" s="119"/>
      <x:c r="C198" s="119"/>
      <x:c r="D198" s="119"/>
      <x:c r="E198" s="119"/>
      <x:c r="F198" s="119"/>
      <x:c r="G198" s="119"/>
      <x:c r="H198" s="119"/>
      <x:c r="I198" s="119"/>
      <x:c r="J198" s="119"/>
      <x:c r="K198" s="119"/>
      <x:c r="L198" s="119"/>
      <x:c r="M198" s="119"/>
      <x:c r="N198" s="119"/>
      <x:c r="O198" s="119"/>
      <x:c r="P198" s="119"/>
    </x:row>
    <x:row r="199">
      <x:c r="A199" s="119"/>
      <x:c r="B199" s="119"/>
      <x:c r="C199" s="119"/>
      <x:c r="D199" s="119"/>
      <x:c r="E199" s="119"/>
      <x:c r="F199" s="119"/>
      <x:c r="G199" s="119"/>
      <x:c r="H199" s="119"/>
      <x:c r="I199" s="119"/>
      <x:c r="J199" s="119"/>
      <x:c r="K199" s="119"/>
      <x:c r="L199" s="119"/>
      <x:c r="M199" s="119"/>
      <x:c r="N199" s="119"/>
      <x:c r="O199" s="119"/>
      <x:c r="P199" s="119"/>
    </x:row>
    <x:row r="200">
      <x:c r="A200" s="119"/>
      <x:c r="B200" s="119"/>
      <x:c r="C200" s="119"/>
      <x:c r="D200" s="119"/>
      <x:c r="E200" s="119"/>
      <x:c r="F200" s="119"/>
      <x:c r="G200" s="119"/>
      <x:c r="H200" s="119"/>
      <x:c r="I200" s="119"/>
      <x:c r="J200" s="119"/>
      <x:c r="K200" s="119"/>
      <x:c r="L200" s="119"/>
      <x:c r="M200" s="119"/>
      <x:c r="N200" s="119"/>
      <x:c r="O200" s="119"/>
      <x:c r="P200" s="119"/>
    </x:row>
    <x:row r="201">
      <x:c r="A201" s="119"/>
      <x:c r="B201" s="119"/>
      <x:c r="C201" s="119"/>
      <x:c r="D201" s="119"/>
      <x:c r="E201" s="119"/>
      <x:c r="F201" s="119"/>
      <x:c r="G201" s="119"/>
      <x:c r="H201" s="119"/>
      <x:c r="I201" s="119"/>
      <x:c r="J201" s="119"/>
      <x:c r="K201" s="119"/>
      <x:c r="L201" s="119"/>
      <x:c r="M201" s="119"/>
      <x:c r="N201" s="119"/>
      <x:c r="O201" s="119"/>
      <x:c r="P201" s="119"/>
    </x:row>
    <x:row r="202">
      <x:c r="A202" s="119"/>
      <x:c r="B202" s="119"/>
      <x:c r="C202" s="119"/>
      <x:c r="D202" s="119"/>
      <x:c r="E202" s="119"/>
      <x:c r="F202" s="119"/>
      <x:c r="G202" s="119"/>
      <x:c r="H202" s="119"/>
      <x:c r="I202" s="119"/>
      <x:c r="J202" s="119"/>
      <x:c r="K202" s="119"/>
      <x:c r="L202" s="119"/>
      <x:c r="M202" s="119"/>
      <x:c r="N202" s="119"/>
      <x:c r="O202" s="119"/>
      <x:c r="P202" s="119"/>
    </x:row>
    <x:row r="203">
      <x:c r="A203" s="119"/>
      <x:c r="B203" s="119"/>
      <x:c r="C203" s="119"/>
      <x:c r="D203" s="119"/>
      <x:c r="E203" s="119"/>
      <x:c r="F203" s="119"/>
      <x:c r="G203" s="119"/>
      <x:c r="H203" s="119"/>
      <x:c r="I203" s="119"/>
      <x:c r="J203" s="119"/>
      <x:c r="K203" s="119"/>
      <x:c r="L203" s="119"/>
      <x:c r="M203" s="119"/>
      <x:c r="N203" s="119"/>
      <x:c r="O203" s="119"/>
      <x:c r="P203" s="119"/>
    </x:row>
    <x:row r="204">
      <x:c r="A204" s="119"/>
      <x:c r="B204" s="119"/>
      <x:c r="C204" s="119"/>
      <x:c r="D204" s="119"/>
      <x:c r="E204" s="119"/>
      <x:c r="F204" s="119"/>
      <x:c r="G204" s="119"/>
      <x:c r="H204" s="119"/>
      <x:c r="I204" s="119"/>
      <x:c r="J204" s="119"/>
      <x:c r="K204" s="119"/>
      <x:c r="L204" s="119"/>
      <x:c r="M204" s="119"/>
      <x:c r="N204" s="119"/>
      <x:c r="O204" s="119"/>
      <x:c r="P204" s="119"/>
    </x:row>
    <x:row r="205">
      <x:c r="A205" s="119"/>
      <x:c r="B205" s="119"/>
      <x:c r="C205" s="119"/>
      <x:c r="D205" s="119"/>
      <x:c r="E205" s="119"/>
      <x:c r="F205" s="119"/>
      <x:c r="G205" s="119"/>
      <x:c r="H205" s="119"/>
      <x:c r="I205" s="119"/>
      <x:c r="J205" s="119"/>
      <x:c r="K205" s="119"/>
      <x:c r="L205" s="119"/>
      <x:c r="M205" s="119"/>
      <x:c r="N205" s="119"/>
      <x:c r="O205" s="119"/>
      <x:c r="P205" s="119"/>
    </x:row>
    <x:row r="206">
      <x:c r="A206" s="119"/>
      <x:c r="B206" s="119"/>
      <x:c r="C206" s="119"/>
      <x:c r="D206" s="119"/>
      <x:c r="E206" s="119"/>
      <x:c r="F206" s="119"/>
      <x:c r="G206" s="119"/>
      <x:c r="H206" s="119"/>
      <x:c r="I206" s="119"/>
      <x:c r="J206" s="119"/>
      <x:c r="K206" s="119"/>
      <x:c r="L206" s="119"/>
      <x:c r="M206" s="119"/>
      <x:c r="N206" s="119"/>
      <x:c r="O206" s="119"/>
      <x:c r="P206" s="119"/>
    </x:row>
    <x:row r="207">
      <x:c r="A207" s="119"/>
      <x:c r="B207" s="119"/>
      <x:c r="C207" s="119"/>
      <x:c r="D207" s="119"/>
      <x:c r="E207" s="119"/>
      <x:c r="F207" s="119"/>
      <x:c r="G207" s="119"/>
      <x:c r="H207" s="119"/>
      <x:c r="I207" s="119"/>
      <x:c r="J207" s="119"/>
      <x:c r="K207" s="119"/>
      <x:c r="L207" s="119"/>
      <x:c r="M207" s="119"/>
      <x:c r="N207" s="119"/>
      <x:c r="O207" s="119"/>
      <x:c r="P207" s="119"/>
    </x:row>
    <x:row r="208">
      <x:c r="A208" s="119"/>
      <x:c r="B208" s="119"/>
      <x:c r="C208" s="119"/>
      <x:c r="D208" s="119"/>
      <x:c r="E208" s="119"/>
      <x:c r="F208" s="119"/>
      <x:c r="G208" s="119"/>
      <x:c r="H208" s="119"/>
      <x:c r="I208" s="119"/>
      <x:c r="J208" s="119"/>
      <x:c r="K208" s="119"/>
      <x:c r="L208" s="119"/>
      <x:c r="M208" s="119"/>
      <x:c r="N208" s="119"/>
      <x:c r="O208" s="119"/>
      <x:c r="P208" s="119"/>
    </x:row>
    <x:row r="209">
      <x:c r="A209" s="119"/>
      <x:c r="B209" s="119"/>
      <x:c r="C209" s="119"/>
      <x:c r="D209" s="119"/>
      <x:c r="E209" s="119"/>
      <x:c r="F209" s="119"/>
      <x:c r="G209" s="119"/>
      <x:c r="H209" s="119"/>
      <x:c r="I209" s="119"/>
      <x:c r="J209" s="119"/>
      <x:c r="K209" s="119"/>
      <x:c r="L209" s="119"/>
      <x:c r="M209" s="119"/>
      <x:c r="N209" s="119"/>
      <x:c r="O209" s="119"/>
      <x:c r="P209" s="119"/>
    </x:row>
    <x:row r="210">
      <x:c r="A210" s="119"/>
      <x:c r="B210" s="119"/>
      <x:c r="C210" s="119"/>
      <x:c r="D210" s="119"/>
      <x:c r="E210" s="119"/>
      <x:c r="F210" s="119"/>
      <x:c r="G210" s="119"/>
      <x:c r="H210" s="119"/>
      <x:c r="I210" s="119"/>
      <x:c r="J210" s="119"/>
      <x:c r="K210" s="119"/>
      <x:c r="L210" s="119"/>
      <x:c r="M210" s="119"/>
      <x:c r="N210" s="119"/>
      <x:c r="O210" s="119"/>
      <x:c r="P210" s="119"/>
    </x:row>
    <x:row r="211">
      <x:c r="A211" s="119"/>
      <x:c r="B211" s="119"/>
      <x:c r="C211" s="119"/>
      <x:c r="D211" s="119"/>
      <x:c r="E211" s="119"/>
      <x:c r="F211" s="119"/>
      <x:c r="G211" s="119"/>
      <x:c r="H211" s="119"/>
      <x:c r="I211" s="119"/>
      <x:c r="J211" s="119"/>
      <x:c r="K211" s="119"/>
      <x:c r="L211" s="119"/>
      <x:c r="M211" s="119"/>
      <x:c r="N211" s="119"/>
      <x:c r="O211" s="119"/>
      <x:c r="P211" s="119"/>
    </x:row>
    <x:row r="212">
      <x:c r="A212" s="119"/>
      <x:c r="B212" s="119"/>
      <x:c r="C212" s="119"/>
      <x:c r="D212" s="119"/>
      <x:c r="E212" s="119"/>
      <x:c r="F212" s="119"/>
      <x:c r="G212" s="119"/>
      <x:c r="H212" s="119"/>
      <x:c r="I212" s="119"/>
      <x:c r="J212" s="119"/>
      <x:c r="K212" s="119"/>
      <x:c r="L212" s="119"/>
      <x:c r="M212" s="119"/>
      <x:c r="N212" s="119"/>
      <x:c r="O212" s="119"/>
      <x:c r="P212" s="119"/>
    </x:row>
    <x:row r="213">
      <x:c r="A213" s="119"/>
      <x:c r="B213" s="119"/>
      <x:c r="C213" s="119"/>
      <x:c r="D213" s="119"/>
      <x:c r="E213" s="119"/>
      <x:c r="F213" s="119"/>
      <x:c r="G213" s="119"/>
      <x:c r="H213" s="119"/>
      <x:c r="I213" s="119"/>
      <x:c r="J213" s="119"/>
      <x:c r="K213" s="119"/>
      <x:c r="L213" s="119"/>
      <x:c r="M213" s="119"/>
      <x:c r="N213" s="119"/>
      <x:c r="O213" s="119"/>
      <x:c r="P213" s="119"/>
    </x:row>
    <x:row r="214">
      <x:c r="A214" s="119"/>
      <x:c r="B214" s="119"/>
      <x:c r="C214" s="119"/>
      <x:c r="D214" s="119"/>
      <x:c r="E214" s="119"/>
      <x:c r="F214" s="119"/>
      <x:c r="G214" s="119"/>
      <x:c r="H214" s="119"/>
      <x:c r="I214" s="119"/>
      <x:c r="J214" s="119"/>
      <x:c r="K214" s="119"/>
      <x:c r="L214" s="119"/>
      <x:c r="M214" s="119"/>
      <x:c r="N214" s="119"/>
      <x:c r="O214" s="119"/>
      <x:c r="P214" s="119"/>
    </x:row>
    <x:row r="215">
      <x:c r="A215" s="119"/>
      <x:c r="B215" s="119"/>
      <x:c r="C215" s="119"/>
      <x:c r="D215" s="119"/>
      <x:c r="E215" s="119"/>
      <x:c r="F215" s="119"/>
      <x:c r="G215" s="119"/>
      <x:c r="H215" s="119"/>
      <x:c r="I215" s="119"/>
      <x:c r="J215" s="119"/>
      <x:c r="K215" s="119"/>
      <x:c r="L215" s="119"/>
      <x:c r="M215" s="119"/>
      <x:c r="N215" s="119"/>
      <x:c r="O215" s="119"/>
      <x:c r="P215" s="119"/>
    </x:row>
    <x:row r="216">
      <x:c r="A216" s="119"/>
      <x:c r="B216" s="119"/>
      <x:c r="C216" s="119"/>
      <x:c r="D216" s="119"/>
      <x:c r="E216" s="119"/>
      <x:c r="F216" s="119"/>
      <x:c r="G216" s="119"/>
      <x:c r="H216" s="119"/>
      <x:c r="I216" s="119"/>
      <x:c r="J216" s="119"/>
      <x:c r="K216" s="119"/>
      <x:c r="L216" s="119"/>
      <x:c r="M216" s="119"/>
      <x:c r="N216" s="119"/>
      <x:c r="O216" s="119"/>
      <x:c r="P216" s="119"/>
    </x:row>
    <x:row r="217">
      <x:c r="A217" s="119"/>
      <x:c r="B217" s="119"/>
      <x:c r="C217" s="119"/>
      <x:c r="D217" s="119"/>
      <x:c r="E217" s="119"/>
      <x:c r="F217" s="119"/>
      <x:c r="G217" s="119"/>
      <x:c r="H217" s="119"/>
      <x:c r="I217" s="119"/>
      <x:c r="J217" s="119"/>
      <x:c r="K217" s="119"/>
      <x:c r="L217" s="119"/>
      <x:c r="M217" s="119"/>
      <x:c r="N217" s="119"/>
      <x:c r="O217" s="119"/>
      <x:c r="P217" s="119"/>
    </x:row>
    <x:row r="218">
      <x:c r="A218" s="119"/>
      <x:c r="B218" s="119"/>
      <x:c r="C218" s="119"/>
      <x:c r="D218" s="119"/>
      <x:c r="E218" s="119"/>
      <x:c r="F218" s="119"/>
      <x:c r="G218" s="119"/>
      <x:c r="H218" s="119"/>
      <x:c r="I218" s="119"/>
      <x:c r="J218" s="119"/>
      <x:c r="K218" s="119"/>
      <x:c r="L218" s="119"/>
      <x:c r="M218" s="119"/>
      <x:c r="N218" s="119"/>
      <x:c r="O218" s="119"/>
      <x:c r="P218" s="119"/>
    </x:row>
    <x:row r="219">
      <x:c r="A219" s="119"/>
      <x:c r="B219" s="119"/>
      <x:c r="C219" s="119"/>
      <x:c r="D219" s="119"/>
      <x:c r="E219" s="119"/>
      <x:c r="F219" s="119"/>
      <x:c r="G219" s="119"/>
      <x:c r="H219" s="119"/>
      <x:c r="I219" s="119"/>
      <x:c r="J219" s="119"/>
      <x:c r="K219" s="119"/>
      <x:c r="L219" s="119"/>
      <x:c r="M219" s="119"/>
      <x:c r="N219" s="119"/>
      <x:c r="O219" s="119"/>
      <x:c r="P219" s="119"/>
    </x:row>
    <x:row r="220">
      <x:c r="A220" s="119"/>
      <x:c r="B220" s="119"/>
      <x:c r="C220" s="119"/>
      <x:c r="D220" s="119"/>
      <x:c r="E220" s="119"/>
      <x:c r="F220" s="119"/>
      <x:c r="G220" s="119"/>
      <x:c r="H220" s="119"/>
      <x:c r="I220" s="119"/>
      <x:c r="J220" s="119"/>
      <x:c r="K220" s="119"/>
      <x:c r="L220" s="119"/>
      <x:c r="M220" s="119"/>
      <x:c r="N220" s="119"/>
      <x:c r="O220" s="119"/>
      <x:c r="P220" s="119"/>
    </x:row>
    <x:row r="221">
      <x:c r="A221" s="119"/>
      <x:c r="B221" s="119"/>
      <x:c r="C221" s="119"/>
      <x:c r="D221" s="119"/>
      <x:c r="E221" s="119"/>
      <x:c r="F221" s="119"/>
      <x:c r="G221" s="119"/>
      <x:c r="H221" s="119"/>
      <x:c r="I221" s="119"/>
      <x:c r="J221" s="119"/>
      <x:c r="K221" s="119"/>
      <x:c r="L221" s="119"/>
      <x:c r="M221" s="119"/>
      <x:c r="N221" s="119"/>
      <x:c r="O221" s="119"/>
      <x:c r="P221" s="119"/>
    </x:row>
    <x:row r="222">
      <x:c r="A222" s="119"/>
      <x:c r="B222" s="119"/>
      <x:c r="C222" s="119"/>
      <x:c r="D222" s="119"/>
      <x:c r="E222" s="119"/>
      <x:c r="F222" s="119"/>
      <x:c r="G222" s="119"/>
      <x:c r="H222" s="119"/>
      <x:c r="I222" s="119"/>
      <x:c r="J222" s="119"/>
      <x:c r="K222" s="119"/>
      <x:c r="L222" s="119"/>
      <x:c r="M222" s="119"/>
      <x:c r="N222" s="119"/>
      <x:c r="O222" s="119"/>
      <x:c r="P222" s="119"/>
    </x:row>
    <x:row r="223">
      <x:c r="A223" s="119"/>
      <x:c r="B223" s="119"/>
      <x:c r="C223" s="119"/>
      <x:c r="D223" s="119"/>
      <x:c r="E223" s="119"/>
      <x:c r="F223" s="119"/>
      <x:c r="G223" s="119"/>
      <x:c r="H223" s="119"/>
      <x:c r="I223" s="119"/>
      <x:c r="J223" s="119"/>
      <x:c r="K223" s="119"/>
      <x:c r="L223" s="119"/>
      <x:c r="M223" s="119"/>
      <x:c r="N223" s="119"/>
      <x:c r="O223" s="119"/>
      <x:c r="P223" s="119"/>
    </x:row>
    <x:row r="224">
      <x:c r="A224" s="119"/>
      <x:c r="B224" s="119"/>
      <x:c r="C224" s="119"/>
      <x:c r="D224" s="119"/>
      <x:c r="E224" s="119"/>
      <x:c r="F224" s="119"/>
      <x:c r="G224" s="119"/>
      <x:c r="H224" s="119"/>
      <x:c r="I224" s="119"/>
      <x:c r="J224" s="119"/>
      <x:c r="K224" s="119"/>
      <x:c r="L224" s="119"/>
      <x:c r="M224" s="119"/>
      <x:c r="N224" s="119"/>
      <x:c r="O224" s="119"/>
      <x:c r="P224" s="119"/>
    </x:row>
    <x:row r="225">
      <x:c r="A225" s="119"/>
      <x:c r="B225" s="119"/>
      <x:c r="C225" s="119"/>
      <x:c r="D225" s="119"/>
      <x:c r="E225" s="119"/>
      <x:c r="F225" s="119"/>
      <x:c r="G225" s="119"/>
      <x:c r="H225" s="119"/>
      <x:c r="I225" s="119"/>
      <x:c r="J225" s="119"/>
      <x:c r="K225" s="119"/>
      <x:c r="L225" s="119"/>
      <x:c r="M225" s="119"/>
      <x:c r="N225" s="119"/>
      <x:c r="O225" s="119"/>
      <x:c r="P225" s="119"/>
    </x:row>
    <x:row r="226">
      <x:c r="A226" s="119"/>
      <x:c r="B226" s="119"/>
      <x:c r="C226" s="119"/>
      <x:c r="D226" s="119"/>
      <x:c r="E226" s="119"/>
      <x:c r="F226" s="119"/>
      <x:c r="G226" s="119"/>
      <x:c r="H226" s="119"/>
      <x:c r="I226" s="119"/>
      <x:c r="J226" s="119"/>
      <x:c r="K226" s="119"/>
      <x:c r="L226" s="119"/>
      <x:c r="M226" s="119"/>
      <x:c r="N226" s="119"/>
      <x:c r="O226" s="119"/>
      <x:c r="P226" s="119"/>
    </x:row>
    <x:row r="227">
      <x:c r="A227" s="119"/>
      <x:c r="B227" s="119"/>
      <x:c r="C227" s="119"/>
      <x:c r="D227" s="119"/>
      <x:c r="E227" s="119"/>
      <x:c r="F227" s="119"/>
      <x:c r="G227" s="119"/>
      <x:c r="H227" s="119"/>
      <x:c r="I227" s="119"/>
      <x:c r="J227" s="119"/>
      <x:c r="K227" s="119"/>
      <x:c r="L227" s="119"/>
      <x:c r="M227" s="119"/>
      <x:c r="N227" s="119"/>
      <x:c r="O227" s="119"/>
      <x:c r="P227" s="119"/>
    </x:row>
    <x:row r="228">
      <x:c r="A228" s="119"/>
      <x:c r="B228" s="119"/>
      <x:c r="C228" s="119"/>
      <x:c r="D228" s="119"/>
      <x:c r="E228" s="119"/>
      <x:c r="F228" s="119"/>
      <x:c r="G228" s="119"/>
      <x:c r="H228" s="119"/>
      <x:c r="I228" s="119"/>
      <x:c r="J228" s="119"/>
      <x:c r="K228" s="119"/>
      <x:c r="L228" s="119"/>
      <x:c r="M228" s="119"/>
      <x:c r="N228" s="119"/>
      <x:c r="O228" s="119"/>
      <x:c r="P228" s="119"/>
    </x:row>
    <x:row r="229">
      <x:c r="A229" s="119"/>
      <x:c r="B229" s="119"/>
      <x:c r="C229" s="119"/>
      <x:c r="D229" s="119"/>
      <x:c r="E229" s="119"/>
      <x:c r="F229" s="119"/>
      <x:c r="G229" s="119"/>
      <x:c r="H229" s="119"/>
      <x:c r="I229" s="119"/>
      <x:c r="J229" s="119"/>
      <x:c r="K229" s="119"/>
      <x:c r="L229" s="119"/>
      <x:c r="M229" s="119"/>
      <x:c r="N229" s="119"/>
      <x:c r="O229" s="119"/>
      <x:c r="P229" s="119"/>
    </x:row>
    <x:row r="230">
      <x:c r="A230" s="119"/>
      <x:c r="B230" s="119"/>
      <x:c r="C230" s="119"/>
      <x:c r="D230" s="119"/>
      <x:c r="E230" s="119"/>
      <x:c r="F230" s="119"/>
      <x:c r="G230" s="119"/>
      <x:c r="H230" s="119"/>
      <x:c r="I230" s="119"/>
      <x:c r="J230" s="119"/>
      <x:c r="K230" s="119"/>
      <x:c r="L230" s="119"/>
      <x:c r="M230" s="119"/>
      <x:c r="N230" s="119"/>
      <x:c r="O230" s="119"/>
      <x:c r="P230" s="119"/>
    </x:row>
    <x:row r="231">
      <x:c r="A231" s="119"/>
      <x:c r="B231" s="119"/>
      <x:c r="C231" s="119"/>
      <x:c r="D231" s="119"/>
      <x:c r="E231" s="119"/>
      <x:c r="F231" s="119"/>
      <x:c r="G231" s="119"/>
      <x:c r="H231" s="119"/>
      <x:c r="I231" s="119"/>
      <x:c r="J231" s="119"/>
      <x:c r="K231" s="119"/>
      <x:c r="L231" s="119"/>
      <x:c r="M231" s="119"/>
      <x:c r="N231" s="119"/>
      <x:c r="O231" s="119"/>
      <x:c r="P231" s="119"/>
    </x:row>
    <x:row r="232">
      <x:c r="A232" s="119"/>
      <x:c r="B232" s="119"/>
      <x:c r="C232" s="119"/>
      <x:c r="D232" s="119"/>
      <x:c r="E232" s="119"/>
      <x:c r="F232" s="119"/>
      <x:c r="G232" s="119"/>
      <x:c r="H232" s="119"/>
      <x:c r="I232" s="119"/>
      <x:c r="J232" s="119"/>
      <x:c r="K232" s="119"/>
      <x:c r="L232" s="119"/>
      <x:c r="M232" s="119"/>
      <x:c r="N232" s="119"/>
      <x:c r="O232" s="119"/>
      <x:c r="P232" s="119"/>
    </x:row>
    <x:row r="233">
      <x:c r="A233" s="119"/>
      <x:c r="B233" s="119"/>
      <x:c r="C233" s="119"/>
      <x:c r="D233" s="119"/>
      <x:c r="E233" s="119"/>
      <x:c r="F233" s="119"/>
      <x:c r="G233" s="119"/>
      <x:c r="H233" s="119"/>
      <x:c r="I233" s="119"/>
      <x:c r="J233" s="119"/>
      <x:c r="K233" s="119"/>
      <x:c r="L233" s="119"/>
      <x:c r="M233" s="119"/>
      <x:c r="N233" s="119"/>
      <x:c r="O233" s="119"/>
      <x:c r="P233" s="119"/>
    </x:row>
    <x:row r="234">
      <x:c r="A234" s="119"/>
      <x:c r="B234" s="119"/>
      <x:c r="C234" s="119"/>
      <x:c r="D234" s="119"/>
      <x:c r="E234" s="119"/>
      <x:c r="F234" s="119"/>
      <x:c r="G234" s="119"/>
      <x:c r="H234" s="119"/>
      <x:c r="I234" s="119"/>
      <x:c r="J234" s="119"/>
      <x:c r="K234" s="119"/>
      <x:c r="L234" s="119"/>
      <x:c r="M234" s="119"/>
      <x:c r="N234" s="119"/>
      <x:c r="O234" s="119"/>
      <x:c r="P234" s="119"/>
    </x:row>
    <x:row r="235">
      <x:c r="A235" s="119"/>
      <x:c r="B235" s="119"/>
      <x:c r="C235" s="119"/>
      <x:c r="D235" s="119"/>
      <x:c r="E235" s="119"/>
      <x:c r="F235" s="119"/>
      <x:c r="G235" s="119"/>
      <x:c r="H235" s="119"/>
      <x:c r="I235" s="119"/>
      <x:c r="J235" s="119"/>
      <x:c r="K235" s="119"/>
      <x:c r="L235" s="119"/>
      <x:c r="M235" s="119"/>
      <x:c r="N235" s="119"/>
      <x:c r="O235" s="119"/>
      <x:c r="P235" s="119"/>
    </x:row>
    <x:row r="236">
      <x:c r="A236" s="119"/>
      <x:c r="B236" s="119"/>
      <x:c r="C236" s="119"/>
      <x:c r="D236" s="119"/>
      <x:c r="E236" s="119"/>
      <x:c r="F236" s="119"/>
      <x:c r="G236" s="119"/>
      <x:c r="H236" s="119"/>
      <x:c r="I236" s="119"/>
      <x:c r="J236" s="119"/>
      <x:c r="K236" s="119"/>
      <x:c r="L236" s="119"/>
      <x:c r="M236" s="119"/>
      <x:c r="N236" s="119"/>
      <x:c r="O236" s="119"/>
      <x:c r="P236" s="119"/>
    </x:row>
    <x:row r="237">
      <x:c r="A237" s="119"/>
      <x:c r="B237" s="119"/>
      <x:c r="C237" s="119"/>
      <x:c r="D237" s="119"/>
      <x:c r="E237" s="119"/>
      <x:c r="F237" s="119"/>
      <x:c r="G237" s="119"/>
      <x:c r="H237" s="119"/>
      <x:c r="I237" s="119"/>
      <x:c r="J237" s="119"/>
      <x:c r="K237" s="119"/>
      <x:c r="L237" s="119"/>
      <x:c r="M237" s="119"/>
      <x:c r="N237" s="119"/>
      <x:c r="O237" s="119"/>
      <x:c r="P237" s="119"/>
    </x:row>
    <x:row r="238">
      <x:c r="A238" s="119"/>
      <x:c r="B238" s="119"/>
      <x:c r="C238" s="119"/>
      <x:c r="D238" s="119"/>
      <x:c r="E238" s="119"/>
      <x:c r="F238" s="119"/>
      <x:c r="G238" s="119"/>
      <x:c r="H238" s="119"/>
      <x:c r="I238" s="119"/>
      <x:c r="J238" s="119"/>
      <x:c r="K238" s="119"/>
      <x:c r="L238" s="119"/>
      <x:c r="M238" s="119"/>
      <x:c r="N238" s="119"/>
      <x:c r="O238" s="119"/>
      <x:c r="P238" s="119"/>
    </x:row>
    <x:row r="239">
      <x:c r="A239" s="119"/>
      <x:c r="B239" s="119"/>
      <x:c r="C239" s="119"/>
      <x:c r="D239" s="119"/>
      <x:c r="E239" s="119"/>
      <x:c r="F239" s="119"/>
      <x:c r="G239" s="119"/>
      <x:c r="H239" s="119"/>
      <x:c r="I239" s="119"/>
      <x:c r="J239" s="119"/>
      <x:c r="K239" s="119"/>
      <x:c r="L239" s="119"/>
      <x:c r="M239" s="119"/>
      <x:c r="N239" s="119"/>
      <x:c r="O239" s="119"/>
      <x:c r="P239" s="119"/>
    </x:row>
    <x:row r="240">
      <x:c r="A240" s="119"/>
      <x:c r="B240" s="119"/>
      <x:c r="C240" s="119"/>
      <x:c r="D240" s="119"/>
      <x:c r="E240" s="119"/>
      <x:c r="F240" s="119"/>
      <x:c r="G240" s="119"/>
      <x:c r="H240" s="119"/>
      <x:c r="I240" s="119"/>
      <x:c r="J240" s="119"/>
      <x:c r="K240" s="119"/>
      <x:c r="L240" s="119"/>
      <x:c r="M240" s="119"/>
      <x:c r="N240" s="119"/>
      <x:c r="O240" s="119"/>
      <x:c r="P240" s="119"/>
    </x:row>
    <x:row r="241">
      <x:c r="A241" s="119"/>
      <x:c r="B241" s="119"/>
      <x:c r="C241" s="119"/>
      <x:c r="D241" s="119"/>
      <x:c r="E241" s="119"/>
      <x:c r="F241" s="119"/>
      <x:c r="G241" s="119"/>
      <x:c r="H241" s="119"/>
      <x:c r="I241" s="119"/>
      <x:c r="J241" s="119"/>
      <x:c r="K241" s="119"/>
      <x:c r="L241" s="119"/>
      <x:c r="M241" s="119"/>
      <x:c r="N241" s="119"/>
      <x:c r="O241" s="119"/>
      <x:c r="P241" s="119"/>
    </x:row>
    <x:row r="242">
      <x:c r="A242" s="119"/>
      <x:c r="B242" s="119"/>
      <x:c r="C242" s="119"/>
      <x:c r="D242" s="119"/>
      <x:c r="E242" s="119"/>
      <x:c r="F242" s="119"/>
      <x:c r="G242" s="119"/>
      <x:c r="H242" s="119"/>
      <x:c r="I242" s="119"/>
      <x:c r="J242" s="119"/>
      <x:c r="K242" s="119"/>
      <x:c r="L242" s="119"/>
      <x:c r="M242" s="119"/>
      <x:c r="N242" s="119"/>
      <x:c r="O242" s="119"/>
      <x:c r="P242" s="119"/>
    </x:row>
    <x:row r="243">
      <x:c r="A243" s="119"/>
      <x:c r="B243" s="119"/>
      <x:c r="C243" s="119"/>
      <x:c r="D243" s="119"/>
      <x:c r="E243" s="119"/>
      <x:c r="F243" s="119"/>
      <x:c r="G243" s="119"/>
      <x:c r="H243" s="119"/>
      <x:c r="I243" s="119"/>
      <x:c r="J243" s="119"/>
      <x:c r="K243" s="119"/>
      <x:c r="L243" s="119"/>
      <x:c r="M243" s="119"/>
      <x:c r="N243" s="119"/>
      <x:c r="O243" s="119"/>
      <x:c r="P243" s="119"/>
    </x:row>
    <x:row r="244">
      <x:c r="A244" s="119"/>
      <x:c r="B244" s="119"/>
      <x:c r="C244" s="119"/>
      <x:c r="D244" s="119"/>
      <x:c r="E244" s="119"/>
      <x:c r="F244" s="119"/>
      <x:c r="G244" s="119"/>
      <x:c r="H244" s="119"/>
      <x:c r="I244" s="119"/>
      <x:c r="J244" s="119"/>
      <x:c r="K244" s="119"/>
      <x:c r="L244" s="119"/>
      <x:c r="M244" s="119"/>
      <x:c r="N244" s="119"/>
      <x:c r="O244" s="119"/>
      <x:c r="P244" s="119"/>
    </x:row>
    <x:row r="245">
      <x:c r="A245" s="119"/>
      <x:c r="B245" s="119"/>
      <x:c r="C245" s="119"/>
      <x:c r="D245" s="119"/>
      <x:c r="E245" s="119"/>
      <x:c r="F245" s="119"/>
      <x:c r="G245" s="119"/>
      <x:c r="H245" s="119"/>
      <x:c r="I245" s="119"/>
      <x:c r="J245" s="119"/>
      <x:c r="K245" s="119"/>
      <x:c r="L245" s="119"/>
      <x:c r="M245" s="119"/>
      <x:c r="N245" s="119"/>
      <x:c r="O245" s="119"/>
      <x:c r="P245" s="119"/>
    </x:row>
    <x:row r="246">
      <x:c r="A246" s="119"/>
      <x:c r="B246" s="119"/>
      <x:c r="C246" s="119"/>
      <x:c r="D246" s="119"/>
      <x:c r="E246" s="119"/>
      <x:c r="F246" s="119"/>
      <x:c r="G246" s="119"/>
      <x:c r="H246" s="119"/>
      <x:c r="I246" s="119"/>
      <x:c r="J246" s="119"/>
      <x:c r="K246" s="119"/>
      <x:c r="L246" s="119"/>
      <x:c r="M246" s="119"/>
      <x:c r="N246" s="119"/>
      <x:c r="O246" s="119"/>
      <x:c r="P246" s="119"/>
    </x:row>
    <x:row r="247">
      <x:c r="A247" s="119"/>
      <x:c r="B247" s="119"/>
      <x:c r="C247" s="119"/>
      <x:c r="D247" s="119"/>
      <x:c r="E247" s="119"/>
      <x:c r="F247" s="119"/>
      <x:c r="G247" s="119"/>
      <x:c r="H247" s="119"/>
      <x:c r="I247" s="119"/>
      <x:c r="J247" s="119"/>
      <x:c r="K247" s="119"/>
      <x:c r="L247" s="119"/>
      <x:c r="M247" s="119"/>
      <x:c r="N247" s="119"/>
      <x:c r="O247" s="119"/>
      <x:c r="P247" s="119"/>
    </x:row>
    <x:row r="248">
      <x:c r="A248" s="119"/>
      <x:c r="B248" s="119"/>
      <x:c r="C248" s="119"/>
      <x:c r="D248" s="119"/>
      <x:c r="E248" s="119"/>
      <x:c r="F248" s="119"/>
      <x:c r="G248" s="119"/>
      <x:c r="H248" s="119"/>
      <x:c r="I248" s="119"/>
      <x:c r="J248" s="119"/>
      <x:c r="K248" s="119"/>
      <x:c r="L248" s="119"/>
      <x:c r="M248" s="119"/>
      <x:c r="N248" s="119"/>
      <x:c r="O248" s="119"/>
      <x:c r="P248" s="119"/>
    </x:row>
    <x:row r="249">
      <x:c r="A249" s="119"/>
      <x:c r="B249" s="119"/>
      <x:c r="C249" s="119"/>
      <x:c r="D249" s="119"/>
      <x:c r="E249" s="119"/>
      <x:c r="F249" s="119"/>
      <x:c r="G249" s="119"/>
      <x:c r="H249" s="119"/>
      <x:c r="I249" s="119"/>
      <x:c r="J249" s="119"/>
      <x:c r="K249" s="119"/>
      <x:c r="L249" s="119"/>
      <x:c r="M249" s="119"/>
      <x:c r="N249" s="119"/>
      <x:c r="O249" s="119"/>
      <x:c r="P249" s="119"/>
    </x:row>
    <x:row r="250">
      <x:c r="A250" s="119"/>
      <x:c r="B250" s="119"/>
      <x:c r="C250" s="119"/>
      <x:c r="D250" s="119"/>
      <x:c r="E250" s="119"/>
      <x:c r="F250" s="119"/>
      <x:c r="G250" s="119"/>
      <x:c r="H250" s="119"/>
      <x:c r="I250" s="119"/>
      <x:c r="J250" s="119"/>
      <x:c r="K250" s="119"/>
      <x:c r="L250" s="119"/>
      <x:c r="M250" s="119"/>
      <x:c r="N250" s="119"/>
      <x:c r="O250" s="119"/>
      <x:c r="P250" s="119"/>
    </x:row>
  </x:sheetData>
  <x:conditionalFormatting sqref="C2:C100">
    <x:cfRule type="expression" dxfId="14" priority="1">
      <x:formula>C2="Critical"</x:formula>
    </x:cfRule>
    <x:cfRule type="expression" dxfId="15" priority="2">
      <x:formula>C2="High"</x:formula>
    </x:cfRule>
    <x:cfRule type="expression" dxfId="16" priority="3">
      <x:formula>C2="Medium"</x:formula>
    </x:cfRule>
    <x:cfRule type="expression" dxfId="17" priority="4">
      <x:formula>C2="Low"</x:formula>
    </x:cfRule>
  </x:conditionalFormatting>
  <x:conditionalFormatting sqref="H2:H100">
    <x:cfRule type="expression" dxfId="18" priority="5">
      <x:formula>H2="Implemented"</x:formula>
    </x:cfRule>
    <x:cfRule type="expression" dxfId="19" priority="6">
      <x:formula>H2="In Progress"</x:formula>
    </x:cfRule>
    <x:cfRule type="expression" dxfId="20" priority="7">
      <x:formula>H2="Not Started"</x:formula>
    </x:cfRule>
    <x:cfRule type="expression" dxfId="21" priority="8">
      <x:formula>H2="Blocked"</x:formula>
    </x:cfRule>
    <x:cfRule type="expression" dxfId="22" priority="9">
      <x:formula>H2="Accepted"</x:formula>
    </x:cfRule>
  </x:conditionalFormatting>
  <x:dataValidations count="2">
    <x:dataValidation type="list" sqref="C2:C100">
      <x:formula1>"Critical,High,Medium,Low"</x:formula1>
    </x:dataValidation>
    <x:dataValidation type="list" sqref="H2:H100">
      <x:formula1>"Not Started,In Progress,Implemented,Accepted,Blocked"</x:formula1>
    </x:dataValidation>
  </x:dataValidations>
  <x:pageMargins left="0.7" right="0.7" top="0.75" bottom="0.75" header="0.3" footer="0.3"/>
  <x:tableParts count="1">
    <x:tablePart xmlns:r="http://schemas.openxmlformats.org/officeDocument/2006/relationships" r:id="R99849a42e1b24846"/>
  </x:tableParts>
</x:worksheet>
</file>

<file path=xl/worksheets/sheet5.xml><?xml version="1.0" encoding="utf-8"?>
<x:worksheet xmlns:x="http://schemas.openxmlformats.org/spreadsheetml/2006/main">
  <x:sheetFormatPr defaultRowHeight="15"/>
  <x:cols>
    <x:col min="1" max="1" width="14" hidden="0" customWidth="1"/>
    <x:col min="2" max="2" width="12" hidden="0" customWidth="1"/>
    <x:col min="3" max="3" width="18" hidden="0" customWidth="1"/>
    <x:col min="4" max="4" width="18" hidden="0" customWidth="1"/>
    <x:col min="5" max="5" width="18" hidden="0" customWidth="1"/>
    <x:col min="6" max="6" width="14" hidden="0" customWidth="1"/>
    <x:col min="7" max="7" width="35" hidden="0" customWidth="1"/>
    <x:col min="8" max="8" width="59" hidden="0" customWidth="1"/>
  </x:cols>
  <x:sheetData>
    <x:row r="1">
      <x:c r="A1" s="30" t="str">
        <x:v>NIST CSF 2.0 Function Summary</x:v>
      </x:c>
      <x:c r="B1" s="30"/>
      <x:c r="C1" s="30"/>
      <x:c r="D1" s="30"/>
      <x:c r="E1" s="30"/>
      <x:c r="F1" s="30"/>
      <x:c r="G1" s="30"/>
      <x:c r="H1" s="30"/>
      <x:c r="I1" s="119"/>
      <x:c r="J1" s="119"/>
      <x:c r="K1" s="119"/>
      <x:c r="L1" s="119"/>
      <x:c r="M1" s="119"/>
      <x:c r="N1" s="119"/>
      <x:c r="O1" s="119"/>
      <x:c r="P1" s="119"/>
    </x:row>
    <x:row r="2">
      <x:c r="A2" s="30"/>
      <x:c r="B2" s="30"/>
      <x:c r="C2" s="30"/>
      <x:c r="D2" s="30"/>
      <x:c r="E2" s="30"/>
      <x:c r="F2" s="30"/>
      <x:c r="G2" s="30"/>
      <x:c r="H2" s="30"/>
      <x:c r="I2" s="119"/>
      <x:c r="J2" s="119"/>
      <x:c r="K2" s="119"/>
      <x:c r="L2" s="119"/>
      <x:c r="M2" s="119"/>
      <x:c r="N2" s="119"/>
      <x:c r="O2" s="119"/>
      <x:c r="P2" s="119"/>
    </x:row>
    <x:row r="3">
      <x:c r="A3" s="119"/>
      <x:c r="B3" s="119"/>
      <x:c r="C3" s="119"/>
      <x:c r="D3" s="119"/>
      <x:c r="E3" s="119"/>
      <x:c r="F3" s="119"/>
      <x:c r="G3" s="119"/>
      <x:c r="H3" s="119"/>
      <x:c r="I3" s="119"/>
      <x:c r="J3" s="119"/>
      <x:c r="K3" s="119"/>
      <x:c r="L3" s="119"/>
      <x:c r="M3" s="119"/>
      <x:c r="N3" s="119"/>
      <x:c r="O3" s="119"/>
      <x:c r="P3" s="119"/>
    </x:row>
    <x:row r="4">
      <x:c r="A4" s="11" t="str">
        <x:v>Function</x:v>
      </x:c>
      <x:c r="B4" s="11" t="str">
        <x:v>Categories</x:v>
      </x:c>
      <x:c r="C4" s="11" t="str">
        <x:v>Weighted Current</x:v>
      </x:c>
      <x:c r="D4" s="11" t="str">
        <x:v>Weighted Target</x:v>
      </x:c>
      <x:c r="E4" s="11" t="str">
        <x:v>Alignment to Target</x:v>
      </x:c>
      <x:c r="F4" s="11" t="str">
        <x:v>Average Gap</x:v>
      </x:c>
      <x:c r="G4" s="11" t="str">
        <x:v>Critical/High Risk Links</x:v>
      </x:c>
      <x:c r="H4" s="11" t="str">
        <x:v>Interpretation</x:v>
      </x:c>
      <x:c r="I4" s="119"/>
      <x:c r="J4" s="119"/>
      <x:c r="K4" s="119"/>
      <x:c r="L4" s="119"/>
      <x:c r="M4" s="119"/>
      <x:c r="N4" s="119"/>
      <x:c r="O4" s="119"/>
      <x:c r="P4" s="119"/>
    </x:row>
    <x:row r="5">
      <x:c r="A5" s="20" t="str">
        <x:v>Govern</x:v>
      </x:c>
      <x:c r="B5" s="20" t="n">
        <x:f>COUNTIF('CSF 2.0 Profile'!A2:A23,A5)</x:f>
        <x:v>6</x:v>
      </x:c>
      <x:c r="C5" s="20" t="n">
        <x:f>SUMPRODUCT(('CSF 2.0 Profile'!$A$2:$A$23=A5)*'CSF 2.0 Profile'!$E$2:$E$23*'CSF 2.0 Profile'!$F$2:$F$23)</x:f>
        <x:v>60</x:v>
      </x:c>
      <x:c r="D5" s="20" t="n">
        <x:f>SUMPRODUCT(('CSF 2.0 Profile'!$A$2:$A$23=A5)*'CSF 2.0 Profile'!$E$2:$E$23*'CSF 2.0 Profile'!$G$2:$G$23)</x:f>
        <x:v>108</x:v>
      </x:c>
      <x:c r="E5" s="133" t="n">
        <x:f>IFERROR(C5/D5,0)</x:f>
        <x:v>0.5555555555555556</x:v>
      </x:c>
      <x:c r="F5" s="134" t="n">
        <x:f>AVERAGEIF('CSF 2.0 Profile'!A2:A23,A5,'CSF 2.0 Profile'!H2:H23)</x:f>
        <x:v>1.6666666666666667</x:v>
      </x:c>
      <x:c r="G5" s="20" t="str">
        <x:v>R-04; R-14; R-15</x:v>
      </x:c>
      <x:c r="H5" s="20" t="str">
        <x:v>Risk assessment exists, but formal policy, oversight and supplier governance are still developing.</x:v>
      </x:c>
      <x:c r="I5" s="119"/>
      <x:c r="J5" s="119"/>
      <x:c r="K5" s="119"/>
      <x:c r="L5" s="119"/>
      <x:c r="M5" s="119"/>
      <x:c r="N5" s="119"/>
      <x:c r="O5" s="119"/>
      <x:c r="P5" s="119"/>
    </x:row>
    <x:row r="6">
      <x:c r="A6" s="20" t="str">
        <x:v>Identify</x:v>
      </x:c>
      <x:c r="B6" s="20" t="n">
        <x:f>COUNTIF('CSF 2.0 Profile'!A2:A23,A6)</x:f>
        <x:v>3</x:v>
      </x:c>
      <x:c r="C6" s="20" t="n">
        <x:f>SUMPRODUCT(('CSF 2.0 Profile'!$A$2:$A$23=A6)*'CSF 2.0 Profile'!$E$2:$E$23*'CSF 2.0 Profile'!$F$2:$F$23)</x:f>
        <x:v>38</x:v>
      </x:c>
      <x:c r="D6" s="20" t="n">
        <x:f>SUMPRODUCT(('CSF 2.0 Profile'!$A$2:$A$23=A6)*'CSF 2.0 Profile'!$E$2:$E$23*'CSF 2.0 Profile'!$G$2:$G$23)</x:f>
        <x:v>56</x:v>
      </x:c>
      <x:c r="E6" s="133" t="n">
        <x:f>IFERROR(C6/D6,0)</x:f>
        <x:v>0.6785714285714286</x:v>
      </x:c>
      <x:c r="F6" s="134" t="n">
        <x:f>AVERAGEIF('CSF 2.0 Profile'!A2:A23,A6,'CSF 2.0 Profile'!H2:H23)</x:f>
        <x:v>1.3333333333333333</x:v>
      </x:c>
      <x:c r="G6" s="20" t="str">
        <x:v>R-05; R-06; R-07</x:v>
      </x:c>
      <x:c r="H6" s="20" t="str">
        <x:v>Asset/risk identification is relatively mature; repeatable reassessment and improvement processes need strengthening.</x:v>
      </x:c>
      <x:c r="I6" s="119"/>
      <x:c r="J6" s="119"/>
      <x:c r="K6" s="119"/>
      <x:c r="L6" s="119"/>
      <x:c r="M6" s="119"/>
      <x:c r="N6" s="119"/>
      <x:c r="O6" s="119"/>
      <x:c r="P6" s="119"/>
    </x:row>
    <x:row r="7">
      <x:c r="A7" s="20" t="str">
        <x:v>Protect</x:v>
      </x:c>
      <x:c r="B7" s="20" t="n">
        <x:f>COUNTIF('CSF 2.0 Profile'!A2:A23,A7)</x:f>
        <x:v>5</x:v>
      </x:c>
      <x:c r="C7" s="20" t="n">
        <x:f>SUMPRODUCT(('CSF 2.0 Profile'!$A$2:$A$23=A7)*'CSF 2.0 Profile'!$E$2:$E$23*'CSF 2.0 Profile'!$F$2:$F$23)</x:f>
        <x:v>33</x:v>
      </x:c>
      <x:c r="D7" s="20" t="n">
        <x:f>SUMPRODUCT(('CSF 2.0 Profile'!$A$2:$A$23=A7)*'CSF 2.0 Profile'!$E$2:$E$23*'CSF 2.0 Profile'!$G$2:$G$23)</x:f>
        <x:v>92</x:v>
      </x:c>
      <x:c r="E7" s="133" t="n">
        <x:f>IFERROR(C7/D7,0)</x:f>
        <x:v>0.358695652173913</x:v>
      </x:c>
      <x:c r="F7" s="134" t="n">
        <x:f>AVERAGEIF('CSF 2.0 Profile'!A2:A23,A7,'CSF 2.0 Profile'!H2:H23)</x:f>
        <x:v>2.4</x:v>
      </x:c>
      <x:c r="G7" s="20" t="str">
        <x:v>R-01; R-03; R-04; R-05; R-06; R-07; R-13</x:v>
      </x:c>
      <x:c r="H7" s="20" t="str">
        <x:v>Largest control gaps are in access, data protection, platform hardening and infrastructure resilience.</x:v>
      </x:c>
      <x:c r="I7" s="119"/>
      <x:c r="J7" s="119"/>
      <x:c r="K7" s="119"/>
      <x:c r="L7" s="119"/>
      <x:c r="M7" s="119"/>
      <x:c r="N7" s="119"/>
      <x:c r="O7" s="119"/>
      <x:c r="P7" s="119"/>
    </x:row>
    <x:row r="8">
      <x:c r="A8" s="20" t="str">
        <x:v>Detect</x:v>
      </x:c>
      <x:c r="B8" s="20" t="n">
        <x:f>COUNTIF('CSF 2.0 Profile'!A2:A23,A8)</x:f>
        <x:v>2</x:v>
      </x:c>
      <x:c r="C8" s="20" t="n">
        <x:f>SUMPRODUCT(('CSF 2.0 Profile'!$A$2:$A$23=A8)*'CSF 2.0 Profile'!$E$2:$E$23*'CSF 2.0 Profile'!$F$2:$F$23)</x:f>
        <x:v>10</x:v>
      </x:c>
      <x:c r="D8" s="20" t="n">
        <x:f>SUMPRODUCT(('CSF 2.0 Profile'!$A$2:$A$23=A8)*'CSF 2.0 Profile'!$E$2:$E$23*'CSF 2.0 Profile'!$G$2:$G$23)</x:f>
        <x:v>40</x:v>
      </x:c>
      <x:c r="E8" s="133" t="n">
        <x:f>IFERROR(C8/D8,0)</x:f>
        <x:v>0.25</x:v>
      </x:c>
      <x:c r="F8" s="134" t="n">
        <x:f>AVERAGEIF('CSF 2.0 Profile'!A2:A23,A8,'CSF 2.0 Profile'!H2:H23)</x:f>
        <x:v>3</x:v>
      </x:c>
      <x:c r="G8" s="20" t="str">
        <x:v>R-04; R-05; R-14; R-18</x:v>
      </x:c>
      <x:c r="H8" s="20" t="str">
        <x:v>Monitoring and analysis are among the weakest areas due to fragmented telemetry and informal alert processes.</x:v>
      </x:c>
      <x:c r="I8" s="119"/>
      <x:c r="J8" s="119"/>
      <x:c r="K8" s="119"/>
      <x:c r="L8" s="119"/>
      <x:c r="M8" s="119"/>
      <x:c r="N8" s="119"/>
      <x:c r="O8" s="119"/>
      <x:c r="P8" s="119"/>
    </x:row>
    <x:row r="9">
      <x:c r="A9" s="20" t="str">
        <x:v>Respond</x:v>
      </x:c>
      <x:c r="B9" s="20" t="n">
        <x:f>COUNTIF('CSF 2.0 Profile'!A2:A23,A9)</x:f>
        <x:v>4</x:v>
      </x:c>
      <x:c r="C9" s="20" t="n">
        <x:f>SUMPRODUCT(('CSF 2.0 Profile'!$A$2:$A$23=A9)*'CSF 2.0 Profile'!$E$2:$E$23*'CSF 2.0 Profile'!$F$2:$F$23)</x:f>
        <x:v>33</x:v>
      </x:c>
      <x:c r="D9" s="20" t="n">
        <x:f>SUMPRODUCT(('CSF 2.0 Profile'!$A$2:$A$23=A9)*'CSF 2.0 Profile'!$E$2:$E$23*'CSF 2.0 Profile'!$G$2:$G$23)</x:f>
        <x:v>72</x:v>
      </x:c>
      <x:c r="E9" s="133" t="n">
        <x:f>IFERROR(C9/D9,0)</x:f>
        <x:v>0.4583333333333333</x:v>
      </x:c>
      <x:c r="F9" s="134" t="n">
        <x:f>AVERAGEIF('CSF 2.0 Profile'!A2:A23,A9,'CSF 2.0 Profile'!H2:H23)</x:f>
        <x:v>2</x:v>
      </x:c>
      <x:c r="G9" s="20" t="str">
        <x:v>R-01; R-05; R-13; R-14; R-18</x:v>
      </x:c>
      <x:c r="H9" s="20" t="str">
        <x:v>Operational response capability exists, but repeatable incident plans, analysis and communication require formalization.</x:v>
      </x:c>
      <x:c r="I9" s="119"/>
      <x:c r="J9" s="119"/>
      <x:c r="K9" s="119"/>
      <x:c r="L9" s="119"/>
      <x:c r="M9" s="119"/>
      <x:c r="N9" s="119"/>
      <x:c r="O9" s="119"/>
      <x:c r="P9" s="119"/>
    </x:row>
    <x:row r="10">
      <x:c r="A10" s="20" t="str">
        <x:v>Recover</x:v>
      </x:c>
      <x:c r="B10" s="20" t="n">
        <x:f>COUNTIF('CSF 2.0 Profile'!A2:A23,A10)</x:f>
        <x:v>2</x:v>
      </x:c>
      <x:c r="C10" s="20" t="n">
        <x:f>SUMPRODUCT(('CSF 2.0 Profile'!$A$2:$A$23=A10)*'CSF 2.0 Profile'!$E$2:$E$23*'CSF 2.0 Profile'!$F$2:$F$23)</x:f>
        <x:v>8</x:v>
      </x:c>
      <x:c r="D10" s="20" t="n">
        <x:f>SUMPRODUCT(('CSF 2.0 Profile'!$A$2:$A$23=A10)*'CSF 2.0 Profile'!$E$2:$E$23*'CSF 2.0 Profile'!$G$2:$G$23)</x:f>
        <x:v>29</x:v>
      </x:c>
      <x:c r="E10" s="133" t="n">
        <x:f>IFERROR(C10/D10,0)</x:f>
        <x:v>0.27586206896551724</x:v>
      </x:c>
      <x:c r="F10" s="134" t="n">
        <x:f>AVERAGEIF('CSF 2.0 Profile'!A2:A23,A10,'CSF 2.0 Profile'!H2:H23)</x:f>
        <x:v>2.5</x:v>
      </x:c>
      <x:c r="G10" s="20" t="str">
        <x:v>R-05; R-06; R-15; R-21; R-22</x:v>
      </x:c>
      <x:c r="H10" s="20" t="str">
        <x:v>Backups exist, but tested recovery execution and recovery communications are not yet mature.</x:v>
      </x:c>
      <x:c r="I10" s="119"/>
      <x:c r="J10" s="119"/>
      <x:c r="K10" s="119"/>
      <x:c r="L10" s="119"/>
      <x:c r="M10" s="119"/>
      <x:c r="N10" s="119"/>
      <x:c r="O10" s="119"/>
      <x:c r="P10" s="119"/>
    </x:row>
    <x:row r="11">
      <x:c r="A11" s="119"/>
      <x:c r="B11" s="119"/>
      <x:c r="C11" s="119"/>
      <x:c r="D11" s="119"/>
      <x:c r="E11" s="119"/>
      <x:c r="F11" s="119"/>
      <x:c r="G11" s="119"/>
      <x:c r="H11" s="119"/>
      <x:c r="I11" s="119"/>
      <x:c r="J11" s="119"/>
      <x:c r="K11" s="119"/>
      <x:c r="L11" s="119"/>
      <x:c r="M11" s="119"/>
      <x:c r="N11" s="119"/>
      <x:c r="O11" s="119"/>
      <x:c r="P11" s="119"/>
    </x:row>
    <x:row r="12">
      <x:c r="A12" s="119"/>
      <x:c r="B12" s="119"/>
      <x:c r="C12" s="119"/>
      <x:c r="D12" s="119"/>
      <x:c r="E12" s="119"/>
      <x:c r="F12" s="119"/>
      <x:c r="G12" s="119"/>
      <x:c r="H12" s="119"/>
      <x:c r="I12" s="119"/>
      <x:c r="J12" s="119"/>
      <x:c r="K12" s="119"/>
      <x:c r="L12" s="119"/>
      <x:c r="M12" s="119"/>
      <x:c r="N12" s="119"/>
      <x:c r="O12" s="119"/>
      <x:c r="P12" s="119"/>
    </x:row>
    <x:row r="13">
      <x:c r="A13" s="119"/>
      <x:c r="B13" s="119"/>
      <x:c r="C13" s="119"/>
      <x:c r="D13" s="119"/>
      <x:c r="E13" s="119"/>
      <x:c r="F13" s="119"/>
      <x:c r="G13" s="119"/>
      <x:c r="H13" s="119"/>
      <x:c r="I13" s="119"/>
      <x:c r="J13" s="119"/>
      <x:c r="K13" s="119"/>
      <x:c r="L13" s="119"/>
      <x:c r="M13" s="119"/>
      <x:c r="N13" s="119"/>
      <x:c r="O13" s="119"/>
      <x:c r="P13" s="119"/>
    </x:row>
    <x:row r="14">
      <x:c r="A14" s="119"/>
      <x:c r="B14" s="119"/>
      <x:c r="C14" s="119"/>
      <x:c r="D14" s="119"/>
      <x:c r="E14" s="119"/>
      <x:c r="F14" s="119"/>
      <x:c r="G14" s="119"/>
      <x:c r="H14" s="119"/>
      <x:c r="I14" s="119"/>
      <x:c r="J14" s="119"/>
      <x:c r="K14" s="119"/>
      <x:c r="L14" s="119"/>
      <x:c r="M14" s="119"/>
      <x:c r="N14" s="119"/>
      <x:c r="O14" s="119"/>
      <x:c r="P14" s="119"/>
    </x:row>
    <x:row r="15">
      <x:c r="A15" s="119"/>
      <x:c r="B15" s="119"/>
      <x:c r="C15" s="119"/>
      <x:c r="D15" s="119"/>
      <x:c r="E15" s="119"/>
      <x:c r="F15" s="119"/>
      <x:c r="G15" s="119"/>
      <x:c r="H15" s="119"/>
      <x:c r="I15" s="119"/>
      <x:c r="J15" s="119"/>
      <x:c r="K15" s="119"/>
      <x:c r="L15" s="119"/>
      <x:c r="M15" s="119"/>
      <x:c r="N15" s="119"/>
      <x:c r="O15" s="119"/>
      <x:c r="P15" s="119"/>
    </x:row>
    <x:row r="16">
      <x:c r="A16" s="119"/>
      <x:c r="B16" s="119"/>
      <x:c r="C16" s="119"/>
      <x:c r="D16" s="119"/>
      <x:c r="E16" s="119"/>
      <x:c r="F16" s="119"/>
      <x:c r="G16" s="119"/>
      <x:c r="H16" s="119"/>
      <x:c r="I16" s="119"/>
      <x:c r="J16" s="119"/>
      <x:c r="K16" s="119"/>
      <x:c r="L16" s="119"/>
      <x:c r="M16" s="119"/>
      <x:c r="N16" s="119"/>
      <x:c r="O16" s="119"/>
      <x:c r="P16" s="119"/>
    </x:row>
    <x:row r="17">
      <x:c r="A17" s="119"/>
      <x:c r="B17" s="119"/>
      <x:c r="C17" s="119"/>
      <x:c r="D17" s="119"/>
      <x:c r="E17" s="119"/>
      <x:c r="F17" s="119"/>
      <x:c r="G17" s="119"/>
      <x:c r="H17" s="119"/>
      <x:c r="I17" s="119"/>
      <x:c r="J17" s="119"/>
      <x:c r="K17" s="119"/>
      <x:c r="L17" s="119"/>
      <x:c r="M17" s="119"/>
      <x:c r="N17" s="119"/>
      <x:c r="O17" s="119"/>
      <x:c r="P17" s="119"/>
    </x:row>
    <x:row r="18">
      <x:c r="A18" s="119"/>
      <x:c r="B18" s="119"/>
      <x:c r="C18" s="119"/>
      <x:c r="D18" s="119"/>
      <x:c r="E18" s="119"/>
      <x:c r="F18" s="119"/>
      <x:c r="G18" s="119"/>
      <x:c r="H18" s="119"/>
      <x:c r="I18" s="119"/>
      <x:c r="J18" s="119"/>
      <x:c r="K18" s="119"/>
      <x:c r="L18" s="119"/>
      <x:c r="M18" s="119"/>
      <x:c r="N18" s="119"/>
      <x:c r="O18" s="119"/>
      <x:c r="P18" s="119"/>
    </x:row>
    <x:row r="19">
      <x:c r="A19" s="119"/>
      <x:c r="B19" s="119"/>
      <x:c r="C19" s="119"/>
      <x:c r="D19" s="119"/>
      <x:c r="E19" s="119"/>
      <x:c r="F19" s="119"/>
      <x:c r="G19" s="119"/>
      <x:c r="H19" s="119"/>
      <x:c r="I19" s="119"/>
      <x:c r="J19" s="119"/>
      <x:c r="K19" s="119"/>
      <x:c r="L19" s="119"/>
      <x:c r="M19" s="119"/>
      <x:c r="N19" s="119"/>
      <x:c r="O19" s="119"/>
      <x:c r="P19" s="119"/>
    </x:row>
    <x:row r="20">
      <x:c r="A20" s="119"/>
      <x:c r="B20" s="119"/>
      <x:c r="C20" s="119"/>
      <x:c r="D20" s="119"/>
      <x:c r="E20" s="119"/>
      <x:c r="F20" s="119"/>
      <x:c r="G20" s="119"/>
      <x:c r="H20" s="119"/>
      <x:c r="I20" s="119"/>
      <x:c r="J20" s="119"/>
      <x:c r="K20" s="119"/>
      <x:c r="L20" s="119"/>
      <x:c r="M20" s="119"/>
      <x:c r="N20" s="119"/>
      <x:c r="O20" s="119"/>
      <x:c r="P20" s="119"/>
    </x:row>
    <x:row r="21">
      <x:c r="A21" s="119"/>
      <x:c r="B21" s="119"/>
      <x:c r="C21" s="119"/>
      <x:c r="D21" s="119"/>
      <x:c r="E21" s="119"/>
      <x:c r="F21" s="119"/>
      <x:c r="G21" s="119"/>
      <x:c r="H21" s="119"/>
      <x:c r="I21" s="119"/>
      <x:c r="J21" s="119"/>
      <x:c r="K21" s="119"/>
      <x:c r="L21" s="119"/>
      <x:c r="M21" s="119"/>
      <x:c r="N21" s="119"/>
      <x:c r="O21" s="119"/>
      <x:c r="P21" s="119"/>
    </x:row>
    <x:row r="22">
      <x:c r="A22" s="119"/>
      <x:c r="B22" s="119"/>
      <x:c r="C22" s="119"/>
      <x:c r="D22" s="119"/>
      <x:c r="E22" s="119"/>
      <x:c r="F22" s="119"/>
      <x:c r="G22" s="119"/>
      <x:c r="H22" s="119"/>
      <x:c r="I22" s="119"/>
      <x:c r="J22" s="119"/>
      <x:c r="K22" s="119"/>
      <x:c r="L22" s="119"/>
      <x:c r="M22" s="119"/>
      <x:c r="N22" s="119"/>
      <x:c r="O22" s="119"/>
      <x:c r="P22" s="119"/>
    </x:row>
    <x:row r="23">
      <x:c r="A23" s="119"/>
      <x:c r="B23" s="119"/>
      <x:c r="C23" s="119"/>
      <x:c r="D23" s="119"/>
      <x:c r="E23" s="119"/>
      <x:c r="F23" s="119"/>
      <x:c r="G23" s="119"/>
      <x:c r="H23" s="119"/>
      <x:c r="I23" s="119"/>
      <x:c r="J23" s="119"/>
      <x:c r="K23" s="119"/>
      <x:c r="L23" s="119"/>
      <x:c r="M23" s="119"/>
      <x:c r="N23" s="119"/>
      <x:c r="O23" s="119"/>
      <x:c r="P23" s="119"/>
    </x:row>
    <x:row r="24">
      <x:c r="A24" s="119"/>
      <x:c r="B24" s="119"/>
      <x:c r="C24" s="119"/>
      <x:c r="D24" s="119"/>
      <x:c r="E24" s="119"/>
      <x:c r="F24" s="119"/>
      <x:c r="G24" s="119"/>
      <x:c r="H24" s="119"/>
      <x:c r="I24" s="119"/>
      <x:c r="J24" s="119"/>
      <x:c r="K24" s="119"/>
      <x:c r="L24" s="119"/>
      <x:c r="M24" s="119"/>
      <x:c r="N24" s="119"/>
      <x:c r="O24" s="119"/>
      <x:c r="P24" s="119"/>
    </x:row>
    <x:row r="25">
      <x:c r="A25" s="119"/>
      <x:c r="B25" s="119"/>
      <x:c r="C25" s="119"/>
      <x:c r="D25" s="119"/>
      <x:c r="E25" s="119"/>
      <x:c r="F25" s="119"/>
      <x:c r="G25" s="119"/>
      <x:c r="H25" s="119"/>
      <x:c r="I25" s="119"/>
      <x:c r="J25" s="119"/>
      <x:c r="K25" s="119"/>
      <x:c r="L25" s="119"/>
      <x:c r="M25" s="119"/>
      <x:c r="N25" s="119"/>
      <x:c r="O25" s="119"/>
      <x:c r="P25" s="119"/>
    </x:row>
    <x:row r="26">
      <x:c r="A26" s="119"/>
      <x:c r="B26" s="119"/>
      <x:c r="C26" s="119"/>
      <x:c r="D26" s="119"/>
      <x:c r="E26" s="119"/>
      <x:c r="F26" s="119"/>
      <x:c r="G26" s="119"/>
      <x:c r="H26" s="119"/>
      <x:c r="I26" s="119"/>
      <x:c r="J26" s="119"/>
      <x:c r="K26" s="119"/>
      <x:c r="L26" s="119"/>
      <x:c r="M26" s="119"/>
      <x:c r="N26" s="119"/>
      <x:c r="O26" s="119"/>
      <x:c r="P26" s="119"/>
    </x:row>
    <x:row r="27">
      <x:c r="A27" s="119"/>
      <x:c r="B27" s="119"/>
      <x:c r="C27" s="119"/>
      <x:c r="D27" s="119"/>
      <x:c r="E27" s="119"/>
      <x:c r="F27" s="119"/>
      <x:c r="G27" s="119"/>
      <x:c r="H27" s="119"/>
      <x:c r="I27" s="119"/>
      <x:c r="J27" s="119"/>
      <x:c r="K27" s="119"/>
      <x:c r="L27" s="119"/>
      <x:c r="M27" s="119"/>
      <x:c r="N27" s="119"/>
      <x:c r="O27" s="119"/>
      <x:c r="P27" s="119"/>
    </x:row>
    <x:row r="28">
      <x:c r="A28" s="119"/>
      <x:c r="B28" s="119"/>
      <x:c r="C28" s="119"/>
      <x:c r="D28" s="119"/>
      <x:c r="E28" s="119"/>
      <x:c r="F28" s="119"/>
      <x:c r="G28" s="119"/>
      <x:c r="H28" s="119"/>
      <x:c r="I28" s="119"/>
      <x:c r="J28" s="119"/>
      <x:c r="K28" s="119"/>
      <x:c r="L28" s="119"/>
      <x:c r="M28" s="119"/>
      <x:c r="N28" s="119"/>
      <x:c r="O28" s="119"/>
      <x:c r="P28" s="119"/>
    </x:row>
    <x:row r="29">
      <x:c r="A29" s="119"/>
      <x:c r="B29" s="119"/>
      <x:c r="C29" s="119"/>
      <x:c r="D29" s="119"/>
      <x:c r="E29" s="119"/>
      <x:c r="F29" s="119"/>
      <x:c r="G29" s="119"/>
      <x:c r="H29" s="119"/>
      <x:c r="I29" s="119"/>
      <x:c r="J29" s="119"/>
      <x:c r="K29" s="119"/>
      <x:c r="L29" s="119"/>
      <x:c r="M29" s="119"/>
      <x:c r="N29" s="119"/>
      <x:c r="O29" s="119"/>
      <x:c r="P29" s="119"/>
    </x:row>
    <x:row r="30">
      <x:c r="A30" s="119"/>
      <x:c r="B30" s="119"/>
      <x:c r="C30" s="119"/>
      <x:c r="D30" s="119"/>
      <x:c r="E30" s="119"/>
      <x:c r="F30" s="119"/>
      <x:c r="G30" s="119"/>
      <x:c r="H30" s="119"/>
      <x:c r="I30" s="119"/>
      <x:c r="J30" s="119"/>
      <x:c r="K30" s="119"/>
      <x:c r="L30" s="119"/>
      <x:c r="M30" s="119"/>
      <x:c r="N30" s="119"/>
      <x:c r="O30" s="119"/>
      <x:c r="P30" s="119"/>
    </x:row>
    <x:row r="31">
      <x:c r="A31" s="119"/>
      <x:c r="B31" s="119"/>
      <x:c r="C31" s="119"/>
      <x:c r="D31" s="119"/>
      <x:c r="E31" s="119"/>
      <x:c r="F31" s="119"/>
      <x:c r="G31" s="119"/>
      <x:c r="H31" s="119"/>
      <x:c r="I31" s="119"/>
      <x:c r="J31" s="119"/>
      <x:c r="K31" s="119"/>
      <x:c r="L31" s="119"/>
      <x:c r="M31" s="119"/>
      <x:c r="N31" s="119"/>
      <x:c r="O31" s="119"/>
      <x:c r="P31" s="119"/>
    </x:row>
    <x:row r="32">
      <x:c r="A32" s="119"/>
      <x:c r="B32" s="119"/>
      <x:c r="C32" s="119"/>
      <x:c r="D32" s="119"/>
      <x:c r="E32" s="119"/>
      <x:c r="F32" s="119"/>
      <x:c r="G32" s="119"/>
      <x:c r="H32" s="119"/>
      <x:c r="I32" s="119"/>
      <x:c r="J32" s="119"/>
      <x:c r="K32" s="119"/>
      <x:c r="L32" s="119"/>
      <x:c r="M32" s="119"/>
      <x:c r="N32" s="119"/>
      <x:c r="O32" s="119"/>
      <x:c r="P32" s="119"/>
    </x:row>
    <x:row r="33">
      <x:c r="A33" s="119"/>
      <x:c r="B33" s="119"/>
      <x:c r="C33" s="119"/>
      <x:c r="D33" s="119"/>
      <x:c r="E33" s="119"/>
      <x:c r="F33" s="119"/>
      <x:c r="G33" s="119"/>
      <x:c r="H33" s="119"/>
      <x:c r="I33" s="119"/>
      <x:c r="J33" s="119"/>
      <x:c r="K33" s="119"/>
      <x:c r="L33" s="119"/>
      <x:c r="M33" s="119"/>
      <x:c r="N33" s="119"/>
      <x:c r="O33" s="119"/>
      <x:c r="P33" s="119"/>
    </x:row>
    <x:row r="34">
      <x:c r="A34" s="119"/>
      <x:c r="B34" s="119"/>
      <x:c r="C34" s="119"/>
      <x:c r="D34" s="119"/>
      <x:c r="E34" s="119"/>
      <x:c r="F34" s="119"/>
      <x:c r="G34" s="119"/>
      <x:c r="H34" s="119"/>
      <x:c r="I34" s="119"/>
      <x:c r="J34" s="119"/>
      <x:c r="K34" s="119"/>
      <x:c r="L34" s="119"/>
      <x:c r="M34" s="119"/>
      <x:c r="N34" s="119"/>
      <x:c r="O34" s="119"/>
      <x:c r="P34" s="119"/>
    </x:row>
    <x:row r="35">
      <x:c r="A35" s="119"/>
      <x:c r="B35" s="119"/>
      <x:c r="C35" s="119"/>
      <x:c r="D35" s="119"/>
      <x:c r="E35" s="119"/>
      <x:c r="F35" s="119"/>
      <x:c r="G35" s="119"/>
      <x:c r="H35" s="119"/>
      <x:c r="I35" s="119"/>
      <x:c r="J35" s="119"/>
      <x:c r="K35" s="119"/>
      <x:c r="L35" s="119"/>
      <x:c r="M35" s="119"/>
      <x:c r="N35" s="119"/>
      <x:c r="O35" s="119"/>
      <x:c r="P35" s="119"/>
    </x:row>
    <x:row r="36">
      <x:c r="A36" s="119"/>
      <x:c r="B36" s="119"/>
      <x:c r="C36" s="119"/>
      <x:c r="D36" s="119"/>
      <x:c r="E36" s="119"/>
      <x:c r="F36" s="119"/>
      <x:c r="G36" s="119"/>
      <x:c r="H36" s="119"/>
      <x:c r="I36" s="119"/>
      <x:c r="J36" s="119"/>
      <x:c r="K36" s="119"/>
      <x:c r="L36" s="119"/>
      <x:c r="M36" s="119"/>
      <x:c r="N36" s="119"/>
      <x:c r="O36" s="119"/>
      <x:c r="P36" s="119"/>
    </x:row>
    <x:row r="37">
      <x:c r="A37" s="119"/>
      <x:c r="B37" s="119"/>
      <x:c r="C37" s="119"/>
      <x:c r="D37" s="119"/>
      <x:c r="E37" s="119"/>
      <x:c r="F37" s="119"/>
      <x:c r="G37" s="119"/>
      <x:c r="H37" s="119"/>
      <x:c r="I37" s="119"/>
      <x:c r="J37" s="119"/>
      <x:c r="K37" s="119"/>
      <x:c r="L37" s="119"/>
      <x:c r="M37" s="119"/>
      <x:c r="N37" s="119"/>
      <x:c r="O37" s="119"/>
      <x:c r="P37" s="119"/>
    </x:row>
    <x:row r="38">
      <x:c r="A38" s="119"/>
      <x:c r="B38" s="119"/>
      <x:c r="C38" s="119"/>
      <x:c r="D38" s="119"/>
      <x:c r="E38" s="119"/>
      <x:c r="F38" s="119"/>
      <x:c r="G38" s="119"/>
      <x:c r="H38" s="119"/>
      <x:c r="I38" s="119"/>
      <x:c r="J38" s="119"/>
      <x:c r="K38" s="119"/>
      <x:c r="L38" s="119"/>
      <x:c r="M38" s="119"/>
      <x:c r="N38" s="119"/>
      <x:c r="O38" s="119"/>
      <x:c r="P38" s="119"/>
    </x:row>
    <x:row r="39">
      <x:c r="A39" s="119"/>
      <x:c r="B39" s="119"/>
      <x:c r="C39" s="119"/>
      <x:c r="D39" s="119"/>
      <x:c r="E39" s="119"/>
      <x:c r="F39" s="119"/>
      <x:c r="G39" s="119"/>
      <x:c r="H39" s="119"/>
      <x:c r="I39" s="119"/>
      <x:c r="J39" s="119"/>
      <x:c r="K39" s="119"/>
      <x:c r="L39" s="119"/>
      <x:c r="M39" s="119"/>
      <x:c r="N39" s="119"/>
      <x:c r="O39" s="119"/>
      <x:c r="P39" s="119"/>
    </x:row>
    <x:row r="40">
      <x:c r="A40" s="119"/>
      <x:c r="B40" s="119"/>
      <x:c r="C40" s="119"/>
      <x:c r="D40" s="119"/>
      <x:c r="E40" s="119"/>
      <x:c r="F40" s="119"/>
      <x:c r="G40" s="119"/>
      <x:c r="H40" s="119"/>
      <x:c r="I40" s="119"/>
      <x:c r="J40" s="119"/>
      <x:c r="K40" s="119"/>
      <x:c r="L40" s="119"/>
      <x:c r="M40" s="119"/>
      <x:c r="N40" s="119"/>
      <x:c r="O40" s="119"/>
      <x:c r="P40" s="119"/>
    </x:row>
    <x:row r="41">
      <x:c r="A41" s="119"/>
      <x:c r="B41" s="119"/>
      <x:c r="C41" s="119"/>
      <x:c r="D41" s="119"/>
      <x:c r="E41" s="119"/>
      <x:c r="F41" s="119"/>
      <x:c r="G41" s="119"/>
      <x:c r="H41" s="119"/>
      <x:c r="I41" s="119"/>
      <x:c r="J41" s="119"/>
      <x:c r="K41" s="119"/>
      <x:c r="L41" s="119"/>
      <x:c r="M41" s="119"/>
      <x:c r="N41" s="119"/>
      <x:c r="O41" s="119"/>
      <x:c r="P41" s="119"/>
    </x:row>
    <x:row r="42">
      <x:c r="A42" s="119"/>
      <x:c r="B42" s="119"/>
      <x:c r="C42" s="119"/>
      <x:c r="D42" s="119"/>
      <x:c r="E42" s="119"/>
      <x:c r="F42" s="119"/>
      <x:c r="G42" s="119"/>
      <x:c r="H42" s="119"/>
      <x:c r="I42" s="119"/>
      <x:c r="J42" s="119"/>
      <x:c r="K42" s="119"/>
      <x:c r="L42" s="119"/>
      <x:c r="M42" s="119"/>
      <x:c r="N42" s="119"/>
      <x:c r="O42" s="119"/>
      <x:c r="P42" s="119"/>
    </x:row>
    <x:row r="43">
      <x:c r="A43" s="119"/>
      <x:c r="B43" s="119"/>
      <x:c r="C43" s="119"/>
      <x:c r="D43" s="119"/>
      <x:c r="E43" s="119"/>
      <x:c r="F43" s="119"/>
      <x:c r="G43" s="119"/>
      <x:c r="H43" s="119"/>
      <x:c r="I43" s="119"/>
      <x:c r="J43" s="119"/>
      <x:c r="K43" s="119"/>
      <x:c r="L43" s="119"/>
      <x:c r="M43" s="119"/>
      <x:c r="N43" s="119"/>
      <x:c r="O43" s="119"/>
      <x:c r="P43" s="119"/>
    </x:row>
    <x:row r="44">
      <x:c r="A44" s="119"/>
      <x:c r="B44" s="119"/>
      <x:c r="C44" s="119"/>
      <x:c r="D44" s="119"/>
      <x:c r="E44" s="119"/>
      <x:c r="F44" s="119"/>
      <x:c r="G44" s="119"/>
      <x:c r="H44" s="119"/>
      <x:c r="I44" s="119"/>
      <x:c r="J44" s="119"/>
      <x:c r="K44" s="119"/>
      <x:c r="L44" s="119"/>
      <x:c r="M44" s="119"/>
      <x:c r="N44" s="119"/>
      <x:c r="O44" s="119"/>
      <x:c r="P44" s="119"/>
    </x:row>
    <x:row r="45">
      <x:c r="A45" s="119"/>
      <x:c r="B45" s="119"/>
      <x:c r="C45" s="119"/>
      <x:c r="D45" s="119"/>
      <x:c r="E45" s="119"/>
      <x:c r="F45" s="119"/>
      <x:c r="G45" s="119"/>
      <x:c r="H45" s="119"/>
      <x:c r="I45" s="119"/>
      <x:c r="J45" s="119"/>
      <x:c r="K45" s="119"/>
      <x:c r="L45" s="119"/>
      <x:c r="M45" s="119"/>
      <x:c r="N45" s="119"/>
      <x:c r="O45" s="119"/>
      <x:c r="P45" s="119"/>
    </x:row>
    <x:row r="46">
      <x:c r="A46" s="119"/>
      <x:c r="B46" s="119"/>
      <x:c r="C46" s="119"/>
      <x:c r="D46" s="119"/>
      <x:c r="E46" s="119"/>
      <x:c r="F46" s="119"/>
      <x:c r="G46" s="119"/>
      <x:c r="H46" s="119"/>
      <x:c r="I46" s="119"/>
      <x:c r="J46" s="119"/>
      <x:c r="K46" s="119"/>
      <x:c r="L46" s="119"/>
      <x:c r="M46" s="119"/>
      <x:c r="N46" s="119"/>
      <x:c r="O46" s="119"/>
      <x:c r="P46" s="119"/>
    </x:row>
    <x:row r="47">
      <x:c r="A47" s="119"/>
      <x:c r="B47" s="119"/>
      <x:c r="C47" s="119"/>
      <x:c r="D47" s="119"/>
      <x:c r="E47" s="119"/>
      <x:c r="F47" s="119"/>
      <x:c r="G47" s="119"/>
      <x:c r="H47" s="119"/>
      <x:c r="I47" s="119"/>
      <x:c r="J47" s="119"/>
      <x:c r="K47" s="119"/>
      <x:c r="L47" s="119"/>
      <x:c r="M47" s="119"/>
      <x:c r="N47" s="119"/>
      <x:c r="O47" s="119"/>
      <x:c r="P47" s="119"/>
    </x:row>
    <x:row r="48">
      <x:c r="A48" s="119"/>
      <x:c r="B48" s="119"/>
      <x:c r="C48" s="119"/>
      <x:c r="D48" s="119"/>
      <x:c r="E48" s="119"/>
      <x:c r="F48" s="119"/>
      <x:c r="G48" s="119"/>
      <x:c r="H48" s="119"/>
      <x:c r="I48" s="119"/>
      <x:c r="J48" s="119"/>
      <x:c r="K48" s="119"/>
      <x:c r="L48" s="119"/>
      <x:c r="M48" s="119"/>
      <x:c r="N48" s="119"/>
      <x:c r="O48" s="119"/>
      <x:c r="P48" s="119"/>
    </x:row>
    <x:row r="49">
      <x:c r="A49" s="119"/>
      <x:c r="B49" s="119"/>
      <x:c r="C49" s="119"/>
      <x:c r="D49" s="119"/>
      <x:c r="E49" s="119"/>
      <x:c r="F49" s="119"/>
      <x:c r="G49" s="119"/>
      <x:c r="H49" s="119"/>
      <x:c r="I49" s="119"/>
      <x:c r="J49" s="119"/>
      <x:c r="K49" s="119"/>
      <x:c r="L49" s="119"/>
      <x:c r="M49" s="119"/>
      <x:c r="N49" s="119"/>
      <x:c r="O49" s="119"/>
      <x:c r="P49" s="119"/>
    </x:row>
    <x:row r="50">
      <x:c r="A50" s="119"/>
      <x:c r="B50" s="119"/>
      <x:c r="C50" s="119"/>
      <x:c r="D50" s="119"/>
      <x:c r="E50" s="119"/>
      <x:c r="F50" s="119"/>
      <x:c r="G50" s="119"/>
      <x:c r="H50" s="119"/>
      <x:c r="I50" s="119"/>
      <x:c r="J50" s="119"/>
      <x:c r="K50" s="119"/>
      <x:c r="L50" s="119"/>
      <x:c r="M50" s="119"/>
      <x:c r="N50" s="119"/>
      <x:c r="O50" s="119"/>
      <x:c r="P50" s="119"/>
    </x:row>
    <x:row r="51">
      <x:c r="A51" s="119"/>
      <x:c r="B51" s="119"/>
      <x:c r="C51" s="119"/>
      <x:c r="D51" s="119"/>
      <x:c r="E51" s="119"/>
      <x:c r="F51" s="119"/>
      <x:c r="G51" s="119"/>
      <x:c r="H51" s="119"/>
      <x:c r="I51" s="119"/>
      <x:c r="J51" s="119"/>
      <x:c r="K51" s="119"/>
      <x:c r="L51" s="119"/>
      <x:c r="M51" s="119"/>
      <x:c r="N51" s="119"/>
      <x:c r="O51" s="119"/>
      <x:c r="P51" s="119"/>
    </x:row>
    <x:row r="52">
      <x:c r="A52" s="119"/>
      <x:c r="B52" s="119"/>
      <x:c r="C52" s="119"/>
      <x:c r="D52" s="119"/>
      <x:c r="E52" s="119"/>
      <x:c r="F52" s="119"/>
      <x:c r="G52" s="119"/>
      <x:c r="H52" s="119"/>
      <x:c r="I52" s="119"/>
      <x:c r="J52" s="119"/>
      <x:c r="K52" s="119"/>
      <x:c r="L52" s="119"/>
      <x:c r="M52" s="119"/>
      <x:c r="N52" s="119"/>
      <x:c r="O52" s="119"/>
      <x:c r="P52" s="119"/>
    </x:row>
    <x:row r="53">
      <x:c r="A53" s="119"/>
      <x:c r="B53" s="119"/>
      <x:c r="C53" s="119"/>
      <x:c r="D53" s="119"/>
      <x:c r="E53" s="119"/>
      <x:c r="F53" s="119"/>
      <x:c r="G53" s="119"/>
      <x:c r="H53" s="119"/>
      <x:c r="I53" s="119"/>
      <x:c r="J53" s="119"/>
      <x:c r="K53" s="119"/>
      <x:c r="L53" s="119"/>
      <x:c r="M53" s="119"/>
      <x:c r="N53" s="119"/>
      <x:c r="O53" s="119"/>
      <x:c r="P53" s="119"/>
    </x:row>
    <x:row r="54">
      <x:c r="A54" s="119"/>
      <x:c r="B54" s="119"/>
      <x:c r="C54" s="119"/>
      <x:c r="D54" s="119"/>
      <x:c r="E54" s="119"/>
      <x:c r="F54" s="119"/>
      <x:c r="G54" s="119"/>
      <x:c r="H54" s="119"/>
      <x:c r="I54" s="119"/>
      <x:c r="J54" s="119"/>
      <x:c r="K54" s="119"/>
      <x:c r="L54" s="119"/>
      <x:c r="M54" s="119"/>
      <x:c r="N54" s="119"/>
      <x:c r="O54" s="119"/>
      <x:c r="P54" s="119"/>
    </x:row>
    <x:row r="55">
      <x:c r="A55" s="119"/>
      <x:c r="B55" s="119"/>
      <x:c r="C55" s="119"/>
      <x:c r="D55" s="119"/>
      <x:c r="E55" s="119"/>
      <x:c r="F55" s="119"/>
      <x:c r="G55" s="119"/>
      <x:c r="H55" s="119"/>
      <x:c r="I55" s="119"/>
      <x:c r="J55" s="119"/>
      <x:c r="K55" s="119"/>
      <x:c r="L55" s="119"/>
      <x:c r="M55" s="119"/>
      <x:c r="N55" s="119"/>
      <x:c r="O55" s="119"/>
      <x:c r="P55" s="119"/>
    </x:row>
    <x:row r="56">
      <x:c r="A56" s="119"/>
      <x:c r="B56" s="119"/>
      <x:c r="C56" s="119"/>
      <x:c r="D56" s="119"/>
      <x:c r="E56" s="119"/>
      <x:c r="F56" s="119"/>
      <x:c r="G56" s="119"/>
      <x:c r="H56" s="119"/>
      <x:c r="I56" s="119"/>
      <x:c r="J56" s="119"/>
      <x:c r="K56" s="119"/>
      <x:c r="L56" s="119"/>
      <x:c r="M56" s="119"/>
      <x:c r="N56" s="119"/>
      <x:c r="O56" s="119"/>
      <x:c r="P56" s="119"/>
    </x:row>
    <x:row r="57">
      <x:c r="A57" s="119"/>
      <x:c r="B57" s="119"/>
      <x:c r="C57" s="119"/>
      <x:c r="D57" s="119"/>
      <x:c r="E57" s="119"/>
      <x:c r="F57" s="119"/>
      <x:c r="G57" s="119"/>
      <x:c r="H57" s="119"/>
      <x:c r="I57" s="119"/>
      <x:c r="J57" s="119"/>
      <x:c r="K57" s="119"/>
      <x:c r="L57" s="119"/>
      <x:c r="M57" s="119"/>
      <x:c r="N57" s="119"/>
      <x:c r="O57" s="119"/>
      <x:c r="P57" s="119"/>
    </x:row>
    <x:row r="58">
      <x:c r="A58" s="119"/>
      <x:c r="B58" s="119"/>
      <x:c r="C58" s="119"/>
      <x:c r="D58" s="119"/>
      <x:c r="E58" s="119"/>
      <x:c r="F58" s="119"/>
      <x:c r="G58" s="119"/>
      <x:c r="H58" s="119"/>
      <x:c r="I58" s="119"/>
      <x:c r="J58" s="119"/>
      <x:c r="K58" s="119"/>
      <x:c r="L58" s="119"/>
      <x:c r="M58" s="119"/>
      <x:c r="N58" s="119"/>
      <x:c r="O58" s="119"/>
      <x:c r="P58" s="119"/>
    </x:row>
    <x:row r="59">
      <x:c r="A59" s="119"/>
      <x:c r="B59" s="119"/>
      <x:c r="C59" s="119"/>
      <x:c r="D59" s="119"/>
      <x:c r="E59" s="119"/>
      <x:c r="F59" s="119"/>
      <x:c r="G59" s="119"/>
      <x:c r="H59" s="119"/>
      <x:c r="I59" s="119"/>
      <x:c r="J59" s="119"/>
      <x:c r="K59" s="119"/>
      <x:c r="L59" s="119"/>
      <x:c r="M59" s="119"/>
      <x:c r="N59" s="119"/>
      <x:c r="O59" s="119"/>
      <x:c r="P59" s="119"/>
    </x:row>
    <x:row r="60">
      <x:c r="A60" s="119"/>
      <x:c r="B60" s="119"/>
      <x:c r="C60" s="119"/>
      <x:c r="D60" s="119"/>
      <x:c r="E60" s="119"/>
      <x:c r="F60" s="119"/>
      <x:c r="G60" s="119"/>
      <x:c r="H60" s="119"/>
      <x:c r="I60" s="119"/>
      <x:c r="J60" s="119"/>
      <x:c r="K60" s="119"/>
      <x:c r="L60" s="119"/>
      <x:c r="M60" s="119"/>
      <x:c r="N60" s="119"/>
      <x:c r="O60" s="119"/>
      <x:c r="P60" s="119"/>
    </x:row>
    <x:row r="61">
      <x:c r="A61" s="119"/>
      <x:c r="B61" s="119"/>
      <x:c r="C61" s="119"/>
      <x:c r="D61" s="119"/>
      <x:c r="E61" s="119"/>
      <x:c r="F61" s="119"/>
      <x:c r="G61" s="119"/>
      <x:c r="H61" s="119"/>
      <x:c r="I61" s="119"/>
      <x:c r="J61" s="119"/>
      <x:c r="K61" s="119"/>
      <x:c r="L61" s="119"/>
      <x:c r="M61" s="119"/>
      <x:c r="N61" s="119"/>
      <x:c r="O61" s="119"/>
      <x:c r="P61" s="119"/>
    </x:row>
    <x:row r="62">
      <x:c r="A62" s="119"/>
      <x:c r="B62" s="119"/>
      <x:c r="C62" s="119"/>
      <x:c r="D62" s="119"/>
      <x:c r="E62" s="119"/>
      <x:c r="F62" s="119"/>
      <x:c r="G62" s="119"/>
      <x:c r="H62" s="119"/>
      <x:c r="I62" s="119"/>
      <x:c r="J62" s="119"/>
      <x:c r="K62" s="119"/>
      <x:c r="L62" s="119"/>
      <x:c r="M62" s="119"/>
      <x:c r="N62" s="119"/>
      <x:c r="O62" s="119"/>
      <x:c r="P62" s="119"/>
    </x:row>
    <x:row r="63">
      <x:c r="A63" s="119"/>
      <x:c r="B63" s="119"/>
      <x:c r="C63" s="119"/>
      <x:c r="D63" s="119"/>
      <x:c r="E63" s="119"/>
      <x:c r="F63" s="119"/>
      <x:c r="G63" s="119"/>
      <x:c r="H63" s="119"/>
      <x:c r="I63" s="119"/>
      <x:c r="J63" s="119"/>
      <x:c r="K63" s="119"/>
      <x:c r="L63" s="119"/>
      <x:c r="M63" s="119"/>
      <x:c r="N63" s="119"/>
      <x:c r="O63" s="119"/>
      <x:c r="P63" s="119"/>
    </x:row>
    <x:row r="64">
      <x:c r="A64" s="119"/>
      <x:c r="B64" s="119"/>
      <x:c r="C64" s="119"/>
      <x:c r="D64" s="119"/>
      <x:c r="E64" s="119"/>
      <x:c r="F64" s="119"/>
      <x:c r="G64" s="119"/>
      <x:c r="H64" s="119"/>
      <x:c r="I64" s="119"/>
      <x:c r="J64" s="119"/>
      <x:c r="K64" s="119"/>
      <x:c r="L64" s="119"/>
      <x:c r="M64" s="119"/>
      <x:c r="N64" s="119"/>
      <x:c r="O64" s="119"/>
      <x:c r="P64" s="119"/>
    </x:row>
    <x:row r="65">
      <x:c r="A65" s="119"/>
      <x:c r="B65" s="119"/>
      <x:c r="C65" s="119"/>
      <x:c r="D65" s="119"/>
      <x:c r="E65" s="119"/>
      <x:c r="F65" s="119"/>
      <x:c r="G65" s="119"/>
      <x:c r="H65" s="119"/>
      <x:c r="I65" s="119"/>
      <x:c r="J65" s="119"/>
      <x:c r="K65" s="119"/>
      <x:c r="L65" s="119"/>
      <x:c r="M65" s="119"/>
      <x:c r="N65" s="119"/>
      <x:c r="O65" s="119"/>
      <x:c r="P65" s="119"/>
    </x:row>
    <x:row r="66">
      <x:c r="A66" s="119"/>
      <x:c r="B66" s="119"/>
      <x:c r="C66" s="119"/>
      <x:c r="D66" s="119"/>
      <x:c r="E66" s="119"/>
      <x:c r="F66" s="119"/>
      <x:c r="G66" s="119"/>
      <x:c r="H66" s="119"/>
      <x:c r="I66" s="119"/>
      <x:c r="J66" s="119"/>
      <x:c r="K66" s="119"/>
      <x:c r="L66" s="119"/>
      <x:c r="M66" s="119"/>
      <x:c r="N66" s="119"/>
      <x:c r="O66" s="119"/>
      <x:c r="P66" s="119"/>
    </x:row>
    <x:row r="67">
      <x:c r="A67" s="119"/>
      <x:c r="B67" s="119"/>
      <x:c r="C67" s="119"/>
      <x:c r="D67" s="119"/>
      <x:c r="E67" s="119"/>
      <x:c r="F67" s="119"/>
      <x:c r="G67" s="119"/>
      <x:c r="H67" s="119"/>
      <x:c r="I67" s="119"/>
      <x:c r="J67" s="119"/>
      <x:c r="K67" s="119"/>
      <x:c r="L67" s="119"/>
      <x:c r="M67" s="119"/>
      <x:c r="N67" s="119"/>
      <x:c r="O67" s="119"/>
      <x:c r="P67" s="119"/>
    </x:row>
    <x:row r="68">
      <x:c r="A68" s="119"/>
      <x:c r="B68" s="119"/>
      <x:c r="C68" s="119"/>
      <x:c r="D68" s="119"/>
      <x:c r="E68" s="119"/>
      <x:c r="F68" s="119"/>
      <x:c r="G68" s="119"/>
      <x:c r="H68" s="119"/>
      <x:c r="I68" s="119"/>
      <x:c r="J68" s="119"/>
      <x:c r="K68" s="119"/>
      <x:c r="L68" s="119"/>
      <x:c r="M68" s="119"/>
      <x:c r="N68" s="119"/>
      <x:c r="O68" s="119"/>
      <x:c r="P68" s="119"/>
    </x:row>
    <x:row r="69">
      <x:c r="A69" s="119"/>
      <x:c r="B69" s="119"/>
      <x:c r="C69" s="119"/>
      <x:c r="D69" s="119"/>
      <x:c r="E69" s="119"/>
      <x:c r="F69" s="119"/>
      <x:c r="G69" s="119"/>
      <x:c r="H69" s="119"/>
      <x:c r="I69" s="119"/>
      <x:c r="J69" s="119"/>
      <x:c r="K69" s="119"/>
      <x:c r="L69" s="119"/>
      <x:c r="M69" s="119"/>
      <x:c r="N69" s="119"/>
      <x:c r="O69" s="119"/>
      <x:c r="P69" s="119"/>
    </x:row>
    <x:row r="70">
      <x:c r="A70" s="119"/>
      <x:c r="B70" s="119"/>
      <x:c r="C70" s="119"/>
      <x:c r="D70" s="119"/>
      <x:c r="E70" s="119"/>
      <x:c r="F70" s="119"/>
      <x:c r="G70" s="119"/>
      <x:c r="H70" s="119"/>
      <x:c r="I70" s="119"/>
      <x:c r="J70" s="119"/>
      <x:c r="K70" s="119"/>
      <x:c r="L70" s="119"/>
      <x:c r="M70" s="119"/>
      <x:c r="N70" s="119"/>
      <x:c r="O70" s="119"/>
      <x:c r="P70" s="119"/>
    </x:row>
    <x:row r="71">
      <x:c r="A71" s="119"/>
      <x:c r="B71" s="119"/>
      <x:c r="C71" s="119"/>
      <x:c r="D71" s="119"/>
      <x:c r="E71" s="119"/>
      <x:c r="F71" s="119"/>
      <x:c r="G71" s="119"/>
      <x:c r="H71" s="119"/>
      <x:c r="I71" s="119"/>
      <x:c r="J71" s="119"/>
      <x:c r="K71" s="119"/>
      <x:c r="L71" s="119"/>
      <x:c r="M71" s="119"/>
      <x:c r="N71" s="119"/>
      <x:c r="O71" s="119"/>
      <x:c r="P71" s="119"/>
    </x:row>
    <x:row r="72">
      <x:c r="A72" s="119"/>
      <x:c r="B72" s="119"/>
      <x:c r="C72" s="119"/>
      <x:c r="D72" s="119"/>
      <x:c r="E72" s="119"/>
      <x:c r="F72" s="119"/>
      <x:c r="G72" s="119"/>
      <x:c r="H72" s="119"/>
      <x:c r="I72" s="119"/>
      <x:c r="J72" s="119"/>
      <x:c r="K72" s="119"/>
      <x:c r="L72" s="119"/>
      <x:c r="M72" s="119"/>
      <x:c r="N72" s="119"/>
      <x:c r="O72" s="119"/>
      <x:c r="P72" s="119"/>
    </x:row>
    <x:row r="73">
      <x:c r="A73" s="119"/>
      <x:c r="B73" s="119"/>
      <x:c r="C73" s="119"/>
      <x:c r="D73" s="119"/>
      <x:c r="E73" s="119"/>
      <x:c r="F73" s="119"/>
      <x:c r="G73" s="119"/>
      <x:c r="H73" s="119"/>
      <x:c r="I73" s="119"/>
      <x:c r="J73" s="119"/>
      <x:c r="K73" s="119"/>
      <x:c r="L73" s="119"/>
      <x:c r="M73" s="119"/>
      <x:c r="N73" s="119"/>
      <x:c r="O73" s="119"/>
      <x:c r="P73" s="119"/>
    </x:row>
    <x:row r="74">
      <x:c r="A74" s="119"/>
      <x:c r="B74" s="119"/>
      <x:c r="C74" s="119"/>
      <x:c r="D74" s="119"/>
      <x:c r="E74" s="119"/>
      <x:c r="F74" s="119"/>
      <x:c r="G74" s="119"/>
      <x:c r="H74" s="119"/>
      <x:c r="I74" s="119"/>
      <x:c r="J74" s="119"/>
      <x:c r="K74" s="119"/>
      <x:c r="L74" s="119"/>
      <x:c r="M74" s="119"/>
      <x:c r="N74" s="119"/>
      <x:c r="O74" s="119"/>
      <x:c r="P74" s="119"/>
    </x:row>
    <x:row r="75">
      <x:c r="A75" s="119"/>
      <x:c r="B75" s="119"/>
      <x:c r="C75" s="119"/>
      <x:c r="D75" s="119"/>
      <x:c r="E75" s="119"/>
      <x:c r="F75" s="119"/>
      <x:c r="G75" s="119"/>
      <x:c r="H75" s="119"/>
      <x:c r="I75" s="119"/>
      <x:c r="J75" s="119"/>
      <x:c r="K75" s="119"/>
      <x:c r="L75" s="119"/>
      <x:c r="M75" s="119"/>
      <x:c r="N75" s="119"/>
      <x:c r="O75" s="119"/>
      <x:c r="P75" s="119"/>
    </x:row>
    <x:row r="76">
      <x:c r="A76" s="119"/>
      <x:c r="B76" s="119"/>
      <x:c r="C76" s="119"/>
      <x:c r="D76" s="119"/>
      <x:c r="E76" s="119"/>
      <x:c r="F76" s="119"/>
      <x:c r="G76" s="119"/>
      <x:c r="H76" s="119"/>
      <x:c r="I76" s="119"/>
      <x:c r="J76" s="119"/>
      <x:c r="K76" s="119"/>
      <x:c r="L76" s="119"/>
      <x:c r="M76" s="119"/>
      <x:c r="N76" s="119"/>
      <x:c r="O76" s="119"/>
      <x:c r="P76" s="119"/>
    </x:row>
    <x:row r="77">
      <x:c r="A77" s="119"/>
      <x:c r="B77" s="119"/>
      <x:c r="C77" s="119"/>
      <x:c r="D77" s="119"/>
      <x:c r="E77" s="119"/>
      <x:c r="F77" s="119"/>
      <x:c r="G77" s="119"/>
      <x:c r="H77" s="119"/>
      <x:c r="I77" s="119"/>
      <x:c r="J77" s="119"/>
      <x:c r="K77" s="119"/>
      <x:c r="L77" s="119"/>
      <x:c r="M77" s="119"/>
      <x:c r="N77" s="119"/>
      <x:c r="O77" s="119"/>
      <x:c r="P77" s="119"/>
    </x:row>
    <x:row r="78">
      <x:c r="A78" s="119"/>
      <x:c r="B78" s="119"/>
      <x:c r="C78" s="119"/>
      <x:c r="D78" s="119"/>
      <x:c r="E78" s="119"/>
      <x:c r="F78" s="119"/>
      <x:c r="G78" s="119"/>
      <x:c r="H78" s="119"/>
      <x:c r="I78" s="119"/>
      <x:c r="J78" s="119"/>
      <x:c r="K78" s="119"/>
      <x:c r="L78" s="119"/>
      <x:c r="M78" s="119"/>
      <x:c r="N78" s="119"/>
      <x:c r="O78" s="119"/>
      <x:c r="P78" s="119"/>
    </x:row>
    <x:row r="79">
      <x:c r="A79" s="119"/>
      <x:c r="B79" s="119"/>
      <x:c r="C79" s="119"/>
      <x:c r="D79" s="119"/>
      <x:c r="E79" s="119"/>
      <x:c r="F79" s="119"/>
      <x:c r="G79" s="119"/>
      <x:c r="H79" s="119"/>
      <x:c r="I79" s="119"/>
      <x:c r="J79" s="119"/>
      <x:c r="K79" s="119"/>
      <x:c r="L79" s="119"/>
      <x:c r="M79" s="119"/>
      <x:c r="N79" s="119"/>
      <x:c r="O79" s="119"/>
      <x:c r="P79" s="119"/>
    </x:row>
    <x:row r="80">
      <x:c r="A80" s="119"/>
      <x:c r="B80" s="119"/>
      <x:c r="C80" s="119"/>
      <x:c r="D80" s="119"/>
      <x:c r="E80" s="119"/>
      <x:c r="F80" s="119"/>
      <x:c r="G80" s="119"/>
      <x:c r="H80" s="119"/>
      <x:c r="I80" s="119"/>
      <x:c r="J80" s="119"/>
      <x:c r="K80" s="119"/>
      <x:c r="L80" s="119"/>
      <x:c r="M80" s="119"/>
      <x:c r="N80" s="119"/>
      <x:c r="O80" s="119"/>
      <x:c r="P80" s="119"/>
    </x:row>
    <x:row r="81">
      <x:c r="A81" s="119"/>
      <x:c r="B81" s="119"/>
      <x:c r="C81" s="119"/>
      <x:c r="D81" s="119"/>
      <x:c r="E81" s="119"/>
      <x:c r="F81" s="119"/>
      <x:c r="G81" s="119"/>
      <x:c r="H81" s="119"/>
      <x:c r="I81" s="119"/>
      <x:c r="J81" s="119"/>
      <x:c r="K81" s="119"/>
      <x:c r="L81" s="119"/>
      <x:c r="M81" s="119"/>
      <x:c r="N81" s="119"/>
      <x:c r="O81" s="119"/>
      <x:c r="P81" s="119"/>
    </x:row>
    <x:row r="82">
      <x:c r="A82" s="119"/>
      <x:c r="B82" s="119"/>
      <x:c r="C82" s="119"/>
      <x:c r="D82" s="119"/>
      <x:c r="E82" s="119"/>
      <x:c r="F82" s="119"/>
      <x:c r="G82" s="119"/>
      <x:c r="H82" s="119"/>
      <x:c r="I82" s="119"/>
      <x:c r="J82" s="119"/>
      <x:c r="K82" s="119"/>
      <x:c r="L82" s="119"/>
      <x:c r="M82" s="119"/>
      <x:c r="N82" s="119"/>
      <x:c r="O82" s="119"/>
      <x:c r="P82" s="119"/>
    </x:row>
    <x:row r="83">
      <x:c r="A83" s="119"/>
      <x:c r="B83" s="119"/>
      <x:c r="C83" s="119"/>
      <x:c r="D83" s="119"/>
      <x:c r="E83" s="119"/>
      <x:c r="F83" s="119"/>
      <x:c r="G83" s="119"/>
      <x:c r="H83" s="119"/>
      <x:c r="I83" s="119"/>
      <x:c r="J83" s="119"/>
      <x:c r="K83" s="119"/>
      <x:c r="L83" s="119"/>
      <x:c r="M83" s="119"/>
      <x:c r="N83" s="119"/>
      <x:c r="O83" s="119"/>
      <x:c r="P83" s="119"/>
    </x:row>
    <x:row r="84">
      <x:c r="A84" s="119"/>
      <x:c r="B84" s="119"/>
      <x:c r="C84" s="119"/>
      <x:c r="D84" s="119"/>
      <x:c r="E84" s="119"/>
      <x:c r="F84" s="119"/>
      <x:c r="G84" s="119"/>
      <x:c r="H84" s="119"/>
      <x:c r="I84" s="119"/>
      <x:c r="J84" s="119"/>
      <x:c r="K84" s="119"/>
      <x:c r="L84" s="119"/>
      <x:c r="M84" s="119"/>
      <x:c r="N84" s="119"/>
      <x:c r="O84" s="119"/>
      <x:c r="P84" s="119"/>
    </x:row>
    <x:row r="85">
      <x:c r="A85" s="119"/>
      <x:c r="B85" s="119"/>
      <x:c r="C85" s="119"/>
      <x:c r="D85" s="119"/>
      <x:c r="E85" s="119"/>
      <x:c r="F85" s="119"/>
      <x:c r="G85" s="119"/>
      <x:c r="H85" s="119"/>
      <x:c r="I85" s="119"/>
      <x:c r="J85" s="119"/>
      <x:c r="K85" s="119"/>
      <x:c r="L85" s="119"/>
      <x:c r="M85" s="119"/>
      <x:c r="N85" s="119"/>
      <x:c r="O85" s="119"/>
      <x:c r="P85" s="119"/>
    </x:row>
    <x:row r="86">
      <x:c r="A86" s="119"/>
      <x:c r="B86" s="119"/>
      <x:c r="C86" s="119"/>
      <x:c r="D86" s="119"/>
      <x:c r="E86" s="119"/>
      <x:c r="F86" s="119"/>
      <x:c r="G86" s="119"/>
      <x:c r="H86" s="119"/>
      <x:c r="I86" s="119"/>
      <x:c r="J86" s="119"/>
      <x:c r="K86" s="119"/>
      <x:c r="L86" s="119"/>
      <x:c r="M86" s="119"/>
      <x:c r="N86" s="119"/>
      <x:c r="O86" s="119"/>
      <x:c r="P86" s="119"/>
    </x:row>
    <x:row r="87">
      <x:c r="A87" s="119"/>
      <x:c r="B87" s="119"/>
      <x:c r="C87" s="119"/>
      <x:c r="D87" s="119"/>
      <x:c r="E87" s="119"/>
      <x:c r="F87" s="119"/>
      <x:c r="G87" s="119"/>
      <x:c r="H87" s="119"/>
      <x:c r="I87" s="119"/>
      <x:c r="J87" s="119"/>
      <x:c r="K87" s="119"/>
      <x:c r="L87" s="119"/>
      <x:c r="M87" s="119"/>
      <x:c r="N87" s="119"/>
      <x:c r="O87" s="119"/>
      <x:c r="P87" s="119"/>
    </x:row>
    <x:row r="88">
      <x:c r="A88" s="119"/>
      <x:c r="B88" s="119"/>
      <x:c r="C88" s="119"/>
      <x:c r="D88" s="119"/>
      <x:c r="E88" s="119"/>
      <x:c r="F88" s="119"/>
      <x:c r="G88" s="119"/>
      <x:c r="H88" s="119"/>
      <x:c r="I88" s="119"/>
      <x:c r="J88" s="119"/>
      <x:c r="K88" s="119"/>
      <x:c r="L88" s="119"/>
      <x:c r="M88" s="119"/>
      <x:c r="N88" s="119"/>
      <x:c r="O88" s="119"/>
      <x:c r="P88" s="119"/>
    </x:row>
    <x:row r="89">
      <x:c r="A89" s="119"/>
      <x:c r="B89" s="119"/>
      <x:c r="C89" s="119"/>
      <x:c r="D89" s="119"/>
      <x:c r="E89" s="119"/>
      <x:c r="F89" s="119"/>
      <x:c r="G89" s="119"/>
      <x:c r="H89" s="119"/>
      <x:c r="I89" s="119"/>
      <x:c r="J89" s="119"/>
      <x:c r="K89" s="119"/>
      <x:c r="L89" s="119"/>
      <x:c r="M89" s="119"/>
      <x:c r="N89" s="119"/>
      <x:c r="O89" s="119"/>
      <x:c r="P89" s="119"/>
    </x:row>
    <x:row r="90">
      <x:c r="A90" s="119"/>
      <x:c r="B90" s="119"/>
      <x:c r="C90" s="119"/>
      <x:c r="D90" s="119"/>
      <x:c r="E90" s="119"/>
      <x:c r="F90" s="119"/>
      <x:c r="G90" s="119"/>
      <x:c r="H90" s="119"/>
      <x:c r="I90" s="119"/>
      <x:c r="J90" s="119"/>
      <x:c r="K90" s="119"/>
      <x:c r="L90" s="119"/>
      <x:c r="M90" s="119"/>
      <x:c r="N90" s="119"/>
      <x:c r="O90" s="119"/>
      <x:c r="P90" s="119"/>
    </x:row>
    <x:row r="91">
      <x:c r="A91" s="119"/>
      <x:c r="B91" s="119"/>
      <x:c r="C91" s="119"/>
      <x:c r="D91" s="119"/>
      <x:c r="E91" s="119"/>
      <x:c r="F91" s="119"/>
      <x:c r="G91" s="119"/>
      <x:c r="H91" s="119"/>
      <x:c r="I91" s="119"/>
      <x:c r="J91" s="119"/>
      <x:c r="K91" s="119"/>
      <x:c r="L91" s="119"/>
      <x:c r="M91" s="119"/>
      <x:c r="N91" s="119"/>
      <x:c r="O91" s="119"/>
      <x:c r="P91" s="119"/>
    </x:row>
    <x:row r="92">
      <x:c r="A92" s="119"/>
      <x:c r="B92" s="119"/>
      <x:c r="C92" s="119"/>
      <x:c r="D92" s="119"/>
      <x:c r="E92" s="119"/>
      <x:c r="F92" s="119"/>
      <x:c r="G92" s="119"/>
      <x:c r="H92" s="119"/>
      <x:c r="I92" s="119"/>
      <x:c r="J92" s="119"/>
      <x:c r="K92" s="119"/>
      <x:c r="L92" s="119"/>
      <x:c r="M92" s="119"/>
      <x:c r="N92" s="119"/>
      <x:c r="O92" s="119"/>
      <x:c r="P92" s="119"/>
    </x:row>
    <x:row r="93">
      <x:c r="A93" s="119"/>
      <x:c r="B93" s="119"/>
      <x:c r="C93" s="119"/>
      <x:c r="D93" s="119"/>
      <x:c r="E93" s="119"/>
      <x:c r="F93" s="119"/>
      <x:c r="G93" s="119"/>
      <x:c r="H93" s="119"/>
      <x:c r="I93" s="119"/>
      <x:c r="J93" s="119"/>
      <x:c r="K93" s="119"/>
      <x:c r="L93" s="119"/>
      <x:c r="M93" s="119"/>
      <x:c r="N93" s="119"/>
      <x:c r="O93" s="119"/>
      <x:c r="P93" s="119"/>
    </x:row>
    <x:row r="94">
      <x:c r="A94" s="119"/>
      <x:c r="B94" s="119"/>
      <x:c r="C94" s="119"/>
      <x:c r="D94" s="119"/>
      <x:c r="E94" s="119"/>
      <x:c r="F94" s="119"/>
      <x:c r="G94" s="119"/>
      <x:c r="H94" s="119"/>
      <x:c r="I94" s="119"/>
      <x:c r="J94" s="119"/>
      <x:c r="K94" s="119"/>
      <x:c r="L94" s="119"/>
      <x:c r="M94" s="119"/>
      <x:c r="N94" s="119"/>
      <x:c r="O94" s="119"/>
      <x:c r="P94" s="119"/>
    </x:row>
    <x:row r="95">
      <x:c r="A95" s="119"/>
      <x:c r="B95" s="119"/>
      <x:c r="C95" s="119"/>
      <x:c r="D95" s="119"/>
      <x:c r="E95" s="119"/>
      <x:c r="F95" s="119"/>
      <x:c r="G95" s="119"/>
      <x:c r="H95" s="119"/>
      <x:c r="I95" s="119"/>
      <x:c r="J95" s="119"/>
      <x:c r="K95" s="119"/>
      <x:c r="L95" s="119"/>
      <x:c r="M95" s="119"/>
      <x:c r="N95" s="119"/>
      <x:c r="O95" s="119"/>
      <x:c r="P95" s="119"/>
    </x:row>
    <x:row r="96">
      <x:c r="A96" s="119"/>
      <x:c r="B96" s="119"/>
      <x:c r="C96" s="119"/>
      <x:c r="D96" s="119"/>
      <x:c r="E96" s="119"/>
      <x:c r="F96" s="119"/>
      <x:c r="G96" s="119"/>
      <x:c r="H96" s="119"/>
      <x:c r="I96" s="119"/>
      <x:c r="J96" s="119"/>
      <x:c r="K96" s="119"/>
      <x:c r="L96" s="119"/>
      <x:c r="M96" s="119"/>
      <x:c r="N96" s="119"/>
      <x:c r="O96" s="119"/>
      <x:c r="P96" s="119"/>
    </x:row>
    <x:row r="97">
      <x:c r="A97" s="119"/>
      <x:c r="B97" s="119"/>
      <x:c r="C97" s="119"/>
      <x:c r="D97" s="119"/>
      <x:c r="E97" s="119"/>
      <x:c r="F97" s="119"/>
      <x:c r="G97" s="119"/>
      <x:c r="H97" s="119"/>
      <x:c r="I97" s="119"/>
      <x:c r="J97" s="119"/>
      <x:c r="K97" s="119"/>
      <x:c r="L97" s="119"/>
      <x:c r="M97" s="119"/>
      <x:c r="N97" s="119"/>
      <x:c r="O97" s="119"/>
      <x:c r="P97" s="119"/>
    </x:row>
    <x:row r="98">
      <x:c r="A98" s="119"/>
      <x:c r="B98" s="119"/>
      <x:c r="C98" s="119"/>
      <x:c r="D98" s="119"/>
      <x:c r="E98" s="119"/>
      <x:c r="F98" s="119"/>
      <x:c r="G98" s="119"/>
      <x:c r="H98" s="119"/>
      <x:c r="I98" s="119"/>
      <x:c r="J98" s="119"/>
      <x:c r="K98" s="119"/>
      <x:c r="L98" s="119"/>
      <x:c r="M98" s="119"/>
      <x:c r="N98" s="119"/>
      <x:c r="O98" s="119"/>
      <x:c r="P98" s="119"/>
    </x:row>
    <x:row r="99">
      <x:c r="A99" s="119"/>
      <x:c r="B99" s="119"/>
      <x:c r="C99" s="119"/>
      <x:c r="D99" s="119"/>
      <x:c r="E99" s="119"/>
      <x:c r="F99" s="119"/>
      <x:c r="G99" s="119"/>
      <x:c r="H99" s="119"/>
      <x:c r="I99" s="119"/>
      <x:c r="J99" s="119"/>
      <x:c r="K99" s="119"/>
      <x:c r="L99" s="119"/>
      <x:c r="M99" s="119"/>
      <x:c r="N99" s="119"/>
      <x:c r="O99" s="119"/>
      <x:c r="P99" s="119"/>
    </x:row>
    <x:row r="100">
      <x:c r="A100" s="119"/>
      <x:c r="B100" s="119"/>
      <x:c r="C100" s="119"/>
      <x:c r="D100" s="119"/>
      <x:c r="E100" s="119"/>
      <x:c r="F100" s="119"/>
      <x:c r="G100" s="119"/>
      <x:c r="H100" s="119"/>
      <x:c r="I100" s="119"/>
      <x:c r="J100" s="119"/>
      <x:c r="K100" s="119"/>
      <x:c r="L100" s="119"/>
      <x:c r="M100" s="119"/>
      <x:c r="N100" s="119"/>
      <x:c r="O100" s="119"/>
      <x:c r="P100" s="119"/>
    </x:row>
    <x:row r="101">
      <x:c r="A101" s="119"/>
      <x:c r="B101" s="119"/>
      <x:c r="C101" s="119"/>
      <x:c r="D101" s="119"/>
      <x:c r="E101" s="119"/>
      <x:c r="F101" s="119"/>
      <x:c r="G101" s="119"/>
      <x:c r="H101" s="119"/>
      <x:c r="I101" s="119"/>
      <x:c r="J101" s="119"/>
      <x:c r="K101" s="119"/>
      <x:c r="L101" s="119"/>
      <x:c r="M101" s="119"/>
      <x:c r="N101" s="119"/>
      <x:c r="O101" s="119"/>
      <x:c r="P101" s="119"/>
    </x:row>
    <x:row r="102">
      <x:c r="A102" s="119"/>
      <x:c r="B102" s="119"/>
      <x:c r="C102" s="119"/>
      <x:c r="D102" s="119"/>
      <x:c r="E102" s="119"/>
      <x:c r="F102" s="119"/>
      <x:c r="G102" s="119"/>
      <x:c r="H102" s="119"/>
      <x:c r="I102" s="119"/>
      <x:c r="J102" s="119"/>
      <x:c r="K102" s="119"/>
      <x:c r="L102" s="119"/>
      <x:c r="M102" s="119"/>
      <x:c r="N102" s="119"/>
      <x:c r="O102" s="119"/>
      <x:c r="P102" s="119"/>
    </x:row>
    <x:row r="103">
      <x:c r="A103" s="119"/>
      <x:c r="B103" s="119"/>
      <x:c r="C103" s="119"/>
      <x:c r="D103" s="119"/>
      <x:c r="E103" s="119"/>
      <x:c r="F103" s="119"/>
      <x:c r="G103" s="119"/>
      <x:c r="H103" s="119"/>
      <x:c r="I103" s="119"/>
      <x:c r="J103" s="119"/>
      <x:c r="K103" s="119"/>
      <x:c r="L103" s="119"/>
      <x:c r="M103" s="119"/>
      <x:c r="N103" s="119"/>
      <x:c r="O103" s="119"/>
      <x:c r="P103" s="119"/>
    </x:row>
    <x:row r="104">
      <x:c r="A104" s="119"/>
      <x:c r="B104" s="119"/>
      <x:c r="C104" s="119"/>
      <x:c r="D104" s="119"/>
      <x:c r="E104" s="119"/>
      <x:c r="F104" s="119"/>
      <x:c r="G104" s="119"/>
      <x:c r="H104" s="119"/>
      <x:c r="I104" s="119"/>
      <x:c r="J104" s="119"/>
      <x:c r="K104" s="119"/>
      <x:c r="L104" s="119"/>
      <x:c r="M104" s="119"/>
      <x:c r="N104" s="119"/>
      <x:c r="O104" s="119"/>
      <x:c r="P104" s="119"/>
    </x:row>
    <x:row r="105">
      <x:c r="A105" s="119"/>
      <x:c r="B105" s="119"/>
      <x:c r="C105" s="119"/>
      <x:c r="D105" s="119"/>
      <x:c r="E105" s="119"/>
      <x:c r="F105" s="119"/>
      <x:c r="G105" s="119"/>
      <x:c r="H105" s="119"/>
      <x:c r="I105" s="119"/>
      <x:c r="J105" s="119"/>
      <x:c r="K105" s="119"/>
      <x:c r="L105" s="119"/>
      <x:c r="M105" s="119"/>
      <x:c r="N105" s="119"/>
      <x:c r="O105" s="119"/>
      <x:c r="P105" s="119"/>
    </x:row>
    <x:row r="106">
      <x:c r="A106" s="119"/>
      <x:c r="B106" s="119"/>
      <x:c r="C106" s="119"/>
      <x:c r="D106" s="119"/>
      <x:c r="E106" s="119"/>
      <x:c r="F106" s="119"/>
      <x:c r="G106" s="119"/>
      <x:c r="H106" s="119"/>
      <x:c r="I106" s="119"/>
      <x:c r="J106" s="119"/>
      <x:c r="K106" s="119"/>
      <x:c r="L106" s="119"/>
      <x:c r="M106" s="119"/>
      <x:c r="N106" s="119"/>
      <x:c r="O106" s="119"/>
      <x:c r="P106" s="119"/>
    </x:row>
    <x:row r="107">
      <x:c r="A107" s="119"/>
      <x:c r="B107" s="119"/>
      <x:c r="C107" s="119"/>
      <x:c r="D107" s="119"/>
      <x:c r="E107" s="119"/>
      <x:c r="F107" s="119"/>
      <x:c r="G107" s="119"/>
      <x:c r="H107" s="119"/>
      <x:c r="I107" s="119"/>
      <x:c r="J107" s="119"/>
      <x:c r="K107" s="119"/>
      <x:c r="L107" s="119"/>
      <x:c r="M107" s="119"/>
      <x:c r="N107" s="119"/>
      <x:c r="O107" s="119"/>
      <x:c r="P107" s="119"/>
    </x:row>
    <x:row r="108">
      <x:c r="A108" s="119"/>
      <x:c r="B108" s="119"/>
      <x:c r="C108" s="119"/>
      <x:c r="D108" s="119"/>
      <x:c r="E108" s="119"/>
      <x:c r="F108" s="119"/>
      <x:c r="G108" s="119"/>
      <x:c r="H108" s="119"/>
      <x:c r="I108" s="119"/>
      <x:c r="J108" s="119"/>
      <x:c r="K108" s="119"/>
      <x:c r="L108" s="119"/>
      <x:c r="M108" s="119"/>
      <x:c r="N108" s="119"/>
      <x:c r="O108" s="119"/>
      <x:c r="P108" s="119"/>
    </x:row>
    <x:row r="109">
      <x:c r="A109" s="119"/>
      <x:c r="B109" s="119"/>
      <x:c r="C109" s="119"/>
      <x:c r="D109" s="119"/>
      <x:c r="E109" s="119"/>
      <x:c r="F109" s="119"/>
      <x:c r="G109" s="119"/>
      <x:c r="H109" s="119"/>
      <x:c r="I109" s="119"/>
      <x:c r="J109" s="119"/>
      <x:c r="K109" s="119"/>
      <x:c r="L109" s="119"/>
      <x:c r="M109" s="119"/>
      <x:c r="N109" s="119"/>
      <x:c r="O109" s="119"/>
      <x:c r="P109" s="119"/>
    </x:row>
    <x:row r="110">
      <x:c r="A110" s="119"/>
      <x:c r="B110" s="119"/>
      <x:c r="C110" s="119"/>
      <x:c r="D110" s="119"/>
      <x:c r="E110" s="119"/>
      <x:c r="F110" s="119"/>
      <x:c r="G110" s="119"/>
      <x:c r="H110" s="119"/>
      <x:c r="I110" s="119"/>
      <x:c r="J110" s="119"/>
      <x:c r="K110" s="119"/>
      <x:c r="L110" s="119"/>
      <x:c r="M110" s="119"/>
      <x:c r="N110" s="119"/>
      <x:c r="O110" s="119"/>
      <x:c r="P110" s="119"/>
    </x:row>
    <x:row r="111">
      <x:c r="A111" s="119"/>
      <x:c r="B111" s="119"/>
      <x:c r="C111" s="119"/>
      <x:c r="D111" s="119"/>
      <x:c r="E111" s="119"/>
      <x:c r="F111" s="119"/>
      <x:c r="G111" s="119"/>
      <x:c r="H111" s="119"/>
      <x:c r="I111" s="119"/>
      <x:c r="J111" s="119"/>
      <x:c r="K111" s="119"/>
      <x:c r="L111" s="119"/>
      <x:c r="M111" s="119"/>
      <x:c r="N111" s="119"/>
      <x:c r="O111" s="119"/>
      <x:c r="P111" s="119"/>
    </x:row>
    <x:row r="112">
      <x:c r="A112" s="119"/>
      <x:c r="B112" s="119"/>
      <x:c r="C112" s="119"/>
      <x:c r="D112" s="119"/>
      <x:c r="E112" s="119"/>
      <x:c r="F112" s="119"/>
      <x:c r="G112" s="119"/>
      <x:c r="H112" s="119"/>
      <x:c r="I112" s="119"/>
      <x:c r="J112" s="119"/>
      <x:c r="K112" s="119"/>
      <x:c r="L112" s="119"/>
      <x:c r="M112" s="119"/>
      <x:c r="N112" s="119"/>
      <x:c r="O112" s="119"/>
      <x:c r="P112" s="119"/>
    </x:row>
    <x:row r="113">
      <x:c r="A113" s="119"/>
      <x:c r="B113" s="119"/>
      <x:c r="C113" s="119"/>
      <x:c r="D113" s="119"/>
      <x:c r="E113" s="119"/>
      <x:c r="F113" s="119"/>
      <x:c r="G113" s="119"/>
      <x:c r="H113" s="119"/>
      <x:c r="I113" s="119"/>
      <x:c r="J113" s="119"/>
      <x:c r="K113" s="119"/>
      <x:c r="L113" s="119"/>
      <x:c r="M113" s="119"/>
      <x:c r="N113" s="119"/>
      <x:c r="O113" s="119"/>
      <x:c r="P113" s="119"/>
    </x:row>
    <x:row r="114">
      <x:c r="A114" s="119"/>
      <x:c r="B114" s="119"/>
      <x:c r="C114" s="119"/>
      <x:c r="D114" s="119"/>
      <x:c r="E114" s="119"/>
      <x:c r="F114" s="119"/>
      <x:c r="G114" s="119"/>
      <x:c r="H114" s="119"/>
      <x:c r="I114" s="119"/>
      <x:c r="J114" s="119"/>
      <x:c r="K114" s="119"/>
      <x:c r="L114" s="119"/>
      <x:c r="M114" s="119"/>
      <x:c r="N114" s="119"/>
      <x:c r="O114" s="119"/>
      <x:c r="P114" s="119"/>
    </x:row>
    <x:row r="115">
      <x:c r="A115" s="119"/>
      <x:c r="B115" s="119"/>
      <x:c r="C115" s="119"/>
      <x:c r="D115" s="119"/>
      <x:c r="E115" s="119"/>
      <x:c r="F115" s="119"/>
      <x:c r="G115" s="119"/>
      <x:c r="H115" s="119"/>
      <x:c r="I115" s="119"/>
      <x:c r="J115" s="119"/>
      <x:c r="K115" s="119"/>
      <x:c r="L115" s="119"/>
      <x:c r="M115" s="119"/>
      <x:c r="N115" s="119"/>
      <x:c r="O115" s="119"/>
      <x:c r="P115" s="119"/>
    </x:row>
    <x:row r="116">
      <x:c r="A116" s="119"/>
      <x:c r="B116" s="119"/>
      <x:c r="C116" s="119"/>
      <x:c r="D116" s="119"/>
      <x:c r="E116" s="119"/>
      <x:c r="F116" s="119"/>
      <x:c r="G116" s="119"/>
      <x:c r="H116" s="119"/>
      <x:c r="I116" s="119"/>
      <x:c r="J116" s="119"/>
      <x:c r="K116" s="119"/>
      <x:c r="L116" s="119"/>
      <x:c r="M116" s="119"/>
      <x:c r="N116" s="119"/>
      <x:c r="O116" s="119"/>
      <x:c r="P116" s="119"/>
    </x:row>
    <x:row r="117">
      <x:c r="A117" s="119"/>
      <x:c r="B117" s="119"/>
      <x:c r="C117" s="119"/>
      <x:c r="D117" s="119"/>
      <x:c r="E117" s="119"/>
      <x:c r="F117" s="119"/>
      <x:c r="G117" s="119"/>
      <x:c r="H117" s="119"/>
      <x:c r="I117" s="119"/>
      <x:c r="J117" s="119"/>
      <x:c r="K117" s="119"/>
      <x:c r="L117" s="119"/>
      <x:c r="M117" s="119"/>
      <x:c r="N117" s="119"/>
      <x:c r="O117" s="119"/>
      <x:c r="P117" s="119"/>
    </x:row>
    <x:row r="118">
      <x:c r="A118" s="119"/>
      <x:c r="B118" s="119"/>
      <x:c r="C118" s="119"/>
      <x:c r="D118" s="119"/>
      <x:c r="E118" s="119"/>
      <x:c r="F118" s="119"/>
      <x:c r="G118" s="119"/>
      <x:c r="H118" s="119"/>
      <x:c r="I118" s="119"/>
      <x:c r="J118" s="119"/>
      <x:c r="K118" s="119"/>
      <x:c r="L118" s="119"/>
      <x:c r="M118" s="119"/>
      <x:c r="N118" s="119"/>
      <x:c r="O118" s="119"/>
      <x:c r="P118" s="119"/>
    </x:row>
    <x:row r="119">
      <x:c r="A119" s="119"/>
      <x:c r="B119" s="119"/>
      <x:c r="C119" s="119"/>
      <x:c r="D119" s="119"/>
      <x:c r="E119" s="119"/>
      <x:c r="F119" s="119"/>
      <x:c r="G119" s="119"/>
      <x:c r="H119" s="119"/>
      <x:c r="I119" s="119"/>
      <x:c r="J119" s="119"/>
      <x:c r="K119" s="119"/>
      <x:c r="L119" s="119"/>
      <x:c r="M119" s="119"/>
      <x:c r="N119" s="119"/>
      <x:c r="O119" s="119"/>
      <x:c r="P119" s="119"/>
    </x:row>
    <x:row r="120">
      <x:c r="A120" s="119"/>
      <x:c r="B120" s="119"/>
      <x:c r="C120" s="119"/>
      <x:c r="D120" s="119"/>
      <x:c r="E120" s="119"/>
      <x:c r="F120" s="119"/>
      <x:c r="G120" s="119"/>
      <x:c r="H120" s="119"/>
      <x:c r="I120" s="119"/>
      <x:c r="J120" s="119"/>
      <x:c r="K120" s="119"/>
      <x:c r="L120" s="119"/>
      <x:c r="M120" s="119"/>
      <x:c r="N120" s="119"/>
      <x:c r="O120" s="119"/>
      <x:c r="P120" s="119"/>
    </x:row>
    <x:row r="121">
      <x:c r="A121" s="119"/>
      <x:c r="B121" s="119"/>
      <x:c r="C121" s="119"/>
      <x:c r="D121" s="119"/>
      <x:c r="E121" s="119"/>
      <x:c r="F121" s="119"/>
      <x:c r="G121" s="119"/>
      <x:c r="H121" s="119"/>
      <x:c r="I121" s="119"/>
      <x:c r="J121" s="119"/>
      <x:c r="K121" s="119"/>
      <x:c r="L121" s="119"/>
      <x:c r="M121" s="119"/>
      <x:c r="N121" s="119"/>
      <x:c r="O121" s="119"/>
      <x:c r="P121" s="119"/>
    </x:row>
    <x:row r="122">
      <x:c r="A122" s="119"/>
      <x:c r="B122" s="119"/>
      <x:c r="C122" s="119"/>
      <x:c r="D122" s="119"/>
      <x:c r="E122" s="119"/>
      <x:c r="F122" s="119"/>
      <x:c r="G122" s="119"/>
      <x:c r="H122" s="119"/>
      <x:c r="I122" s="119"/>
      <x:c r="J122" s="119"/>
      <x:c r="K122" s="119"/>
      <x:c r="L122" s="119"/>
      <x:c r="M122" s="119"/>
      <x:c r="N122" s="119"/>
      <x:c r="O122" s="119"/>
      <x:c r="P122" s="119"/>
    </x:row>
    <x:row r="123">
      <x:c r="A123" s="119"/>
      <x:c r="B123" s="119"/>
      <x:c r="C123" s="119"/>
      <x:c r="D123" s="119"/>
      <x:c r="E123" s="119"/>
      <x:c r="F123" s="119"/>
      <x:c r="G123" s="119"/>
      <x:c r="H123" s="119"/>
      <x:c r="I123" s="119"/>
      <x:c r="J123" s="119"/>
      <x:c r="K123" s="119"/>
      <x:c r="L123" s="119"/>
      <x:c r="M123" s="119"/>
      <x:c r="N123" s="119"/>
      <x:c r="O123" s="119"/>
      <x:c r="P123" s="119"/>
    </x:row>
    <x:row r="124">
      <x:c r="A124" s="119"/>
      <x:c r="B124" s="119"/>
      <x:c r="C124" s="119"/>
      <x:c r="D124" s="119"/>
      <x:c r="E124" s="119"/>
      <x:c r="F124" s="119"/>
      <x:c r="G124" s="119"/>
      <x:c r="H124" s="119"/>
      <x:c r="I124" s="119"/>
      <x:c r="J124" s="119"/>
      <x:c r="K124" s="119"/>
      <x:c r="L124" s="119"/>
      <x:c r="M124" s="119"/>
      <x:c r="N124" s="119"/>
      <x:c r="O124" s="119"/>
      <x:c r="P124" s="119"/>
    </x:row>
    <x:row r="125">
      <x:c r="A125" s="119"/>
      <x:c r="B125" s="119"/>
      <x:c r="C125" s="119"/>
      <x:c r="D125" s="119"/>
      <x:c r="E125" s="119"/>
      <x:c r="F125" s="119"/>
      <x:c r="G125" s="119"/>
      <x:c r="H125" s="119"/>
      <x:c r="I125" s="119"/>
      <x:c r="J125" s="119"/>
      <x:c r="K125" s="119"/>
      <x:c r="L125" s="119"/>
      <x:c r="M125" s="119"/>
      <x:c r="N125" s="119"/>
      <x:c r="O125" s="119"/>
      <x:c r="P125" s="119"/>
    </x:row>
    <x:row r="126">
      <x:c r="A126" s="119"/>
      <x:c r="B126" s="119"/>
      <x:c r="C126" s="119"/>
      <x:c r="D126" s="119"/>
      <x:c r="E126" s="119"/>
      <x:c r="F126" s="119"/>
      <x:c r="G126" s="119"/>
      <x:c r="H126" s="119"/>
      <x:c r="I126" s="119"/>
      <x:c r="J126" s="119"/>
      <x:c r="K126" s="119"/>
      <x:c r="L126" s="119"/>
      <x:c r="M126" s="119"/>
      <x:c r="N126" s="119"/>
      <x:c r="O126" s="119"/>
      <x:c r="P126" s="119"/>
    </x:row>
    <x:row r="127">
      <x:c r="A127" s="119"/>
      <x:c r="B127" s="119"/>
      <x:c r="C127" s="119"/>
      <x:c r="D127" s="119"/>
      <x:c r="E127" s="119"/>
      <x:c r="F127" s="119"/>
      <x:c r="G127" s="119"/>
      <x:c r="H127" s="119"/>
      <x:c r="I127" s="119"/>
      <x:c r="J127" s="119"/>
      <x:c r="K127" s="119"/>
      <x:c r="L127" s="119"/>
      <x:c r="M127" s="119"/>
      <x:c r="N127" s="119"/>
      <x:c r="O127" s="119"/>
      <x:c r="P127" s="119"/>
    </x:row>
    <x:row r="128">
      <x:c r="A128" s="119"/>
      <x:c r="B128" s="119"/>
      <x:c r="C128" s="119"/>
      <x:c r="D128" s="119"/>
      <x:c r="E128" s="119"/>
      <x:c r="F128" s="119"/>
      <x:c r="G128" s="119"/>
      <x:c r="H128" s="119"/>
      <x:c r="I128" s="119"/>
      <x:c r="J128" s="119"/>
      <x:c r="K128" s="119"/>
      <x:c r="L128" s="119"/>
      <x:c r="M128" s="119"/>
      <x:c r="N128" s="119"/>
      <x:c r="O128" s="119"/>
      <x:c r="P128" s="119"/>
    </x:row>
    <x:row r="129">
      <x:c r="A129" s="119"/>
      <x:c r="B129" s="119"/>
      <x:c r="C129" s="119"/>
      <x:c r="D129" s="119"/>
      <x:c r="E129" s="119"/>
      <x:c r="F129" s="119"/>
      <x:c r="G129" s="119"/>
      <x:c r="H129" s="119"/>
      <x:c r="I129" s="119"/>
      <x:c r="J129" s="119"/>
      <x:c r="K129" s="119"/>
      <x:c r="L129" s="119"/>
      <x:c r="M129" s="119"/>
      <x:c r="N129" s="119"/>
      <x:c r="O129" s="119"/>
      <x:c r="P129" s="119"/>
    </x:row>
    <x:row r="130">
      <x:c r="A130" s="119"/>
      <x:c r="B130" s="119"/>
      <x:c r="C130" s="119"/>
      <x:c r="D130" s="119"/>
      <x:c r="E130" s="119"/>
      <x:c r="F130" s="119"/>
      <x:c r="G130" s="119"/>
      <x:c r="H130" s="119"/>
      <x:c r="I130" s="119"/>
      <x:c r="J130" s="119"/>
      <x:c r="K130" s="119"/>
      <x:c r="L130" s="119"/>
      <x:c r="M130" s="119"/>
      <x:c r="N130" s="119"/>
      <x:c r="O130" s="119"/>
      <x:c r="P130" s="119"/>
    </x:row>
    <x:row r="131">
      <x:c r="A131" s="119"/>
      <x:c r="B131" s="119"/>
      <x:c r="C131" s="119"/>
      <x:c r="D131" s="119"/>
      <x:c r="E131" s="119"/>
      <x:c r="F131" s="119"/>
      <x:c r="G131" s="119"/>
      <x:c r="H131" s="119"/>
      <x:c r="I131" s="119"/>
      <x:c r="J131" s="119"/>
      <x:c r="K131" s="119"/>
      <x:c r="L131" s="119"/>
      <x:c r="M131" s="119"/>
      <x:c r="N131" s="119"/>
      <x:c r="O131" s="119"/>
      <x:c r="P131" s="119"/>
    </x:row>
    <x:row r="132">
      <x:c r="A132" s="119"/>
      <x:c r="B132" s="119"/>
      <x:c r="C132" s="119"/>
      <x:c r="D132" s="119"/>
      <x:c r="E132" s="119"/>
      <x:c r="F132" s="119"/>
      <x:c r="G132" s="119"/>
      <x:c r="H132" s="119"/>
      <x:c r="I132" s="119"/>
      <x:c r="J132" s="119"/>
      <x:c r="K132" s="119"/>
      <x:c r="L132" s="119"/>
      <x:c r="M132" s="119"/>
      <x:c r="N132" s="119"/>
      <x:c r="O132" s="119"/>
      <x:c r="P132" s="119"/>
    </x:row>
    <x:row r="133">
      <x:c r="A133" s="119"/>
      <x:c r="B133" s="119"/>
      <x:c r="C133" s="119"/>
      <x:c r="D133" s="119"/>
      <x:c r="E133" s="119"/>
      <x:c r="F133" s="119"/>
      <x:c r="G133" s="119"/>
      <x:c r="H133" s="119"/>
      <x:c r="I133" s="119"/>
      <x:c r="J133" s="119"/>
      <x:c r="K133" s="119"/>
      <x:c r="L133" s="119"/>
      <x:c r="M133" s="119"/>
      <x:c r="N133" s="119"/>
      <x:c r="O133" s="119"/>
      <x:c r="P133" s="119"/>
    </x:row>
    <x:row r="134">
      <x:c r="A134" s="119"/>
      <x:c r="B134" s="119"/>
      <x:c r="C134" s="119"/>
      <x:c r="D134" s="119"/>
      <x:c r="E134" s="119"/>
      <x:c r="F134" s="119"/>
      <x:c r="G134" s="119"/>
      <x:c r="H134" s="119"/>
      <x:c r="I134" s="119"/>
      <x:c r="J134" s="119"/>
      <x:c r="K134" s="119"/>
      <x:c r="L134" s="119"/>
      <x:c r="M134" s="119"/>
      <x:c r="N134" s="119"/>
      <x:c r="O134" s="119"/>
      <x:c r="P134" s="119"/>
    </x:row>
    <x:row r="135">
      <x:c r="A135" s="119"/>
      <x:c r="B135" s="119"/>
      <x:c r="C135" s="119"/>
      <x:c r="D135" s="119"/>
      <x:c r="E135" s="119"/>
      <x:c r="F135" s="119"/>
      <x:c r="G135" s="119"/>
      <x:c r="H135" s="119"/>
      <x:c r="I135" s="119"/>
      <x:c r="J135" s="119"/>
      <x:c r="K135" s="119"/>
      <x:c r="L135" s="119"/>
      <x:c r="M135" s="119"/>
      <x:c r="N135" s="119"/>
      <x:c r="O135" s="119"/>
      <x:c r="P135" s="119"/>
    </x:row>
    <x:row r="136">
      <x:c r="A136" s="119"/>
      <x:c r="B136" s="119"/>
      <x:c r="C136" s="119"/>
      <x:c r="D136" s="119"/>
      <x:c r="E136" s="119"/>
      <x:c r="F136" s="119"/>
      <x:c r="G136" s="119"/>
      <x:c r="H136" s="119"/>
      <x:c r="I136" s="119"/>
      <x:c r="J136" s="119"/>
      <x:c r="K136" s="119"/>
      <x:c r="L136" s="119"/>
      <x:c r="M136" s="119"/>
      <x:c r="N136" s="119"/>
      <x:c r="O136" s="119"/>
      <x:c r="P136" s="119"/>
    </x:row>
    <x:row r="137">
      <x:c r="A137" s="119"/>
      <x:c r="B137" s="119"/>
      <x:c r="C137" s="119"/>
      <x:c r="D137" s="119"/>
      <x:c r="E137" s="119"/>
      <x:c r="F137" s="119"/>
      <x:c r="G137" s="119"/>
      <x:c r="H137" s="119"/>
      <x:c r="I137" s="119"/>
      <x:c r="J137" s="119"/>
      <x:c r="K137" s="119"/>
      <x:c r="L137" s="119"/>
      <x:c r="M137" s="119"/>
      <x:c r="N137" s="119"/>
      <x:c r="O137" s="119"/>
      <x:c r="P137" s="119"/>
    </x:row>
    <x:row r="138">
      <x:c r="A138" s="119"/>
      <x:c r="B138" s="119"/>
      <x:c r="C138" s="119"/>
      <x:c r="D138" s="119"/>
      <x:c r="E138" s="119"/>
      <x:c r="F138" s="119"/>
      <x:c r="G138" s="119"/>
      <x:c r="H138" s="119"/>
      <x:c r="I138" s="119"/>
      <x:c r="J138" s="119"/>
      <x:c r="K138" s="119"/>
      <x:c r="L138" s="119"/>
      <x:c r="M138" s="119"/>
      <x:c r="N138" s="119"/>
      <x:c r="O138" s="119"/>
      <x:c r="P138" s="119"/>
    </x:row>
    <x:row r="139">
      <x:c r="A139" s="119"/>
      <x:c r="B139" s="119"/>
      <x:c r="C139" s="119"/>
      <x:c r="D139" s="119"/>
      <x:c r="E139" s="119"/>
      <x:c r="F139" s="119"/>
      <x:c r="G139" s="119"/>
      <x:c r="H139" s="119"/>
      <x:c r="I139" s="119"/>
      <x:c r="J139" s="119"/>
      <x:c r="K139" s="119"/>
      <x:c r="L139" s="119"/>
      <x:c r="M139" s="119"/>
      <x:c r="N139" s="119"/>
      <x:c r="O139" s="119"/>
      <x:c r="P139" s="119"/>
    </x:row>
    <x:row r="140">
      <x:c r="A140" s="119"/>
      <x:c r="B140" s="119"/>
      <x:c r="C140" s="119"/>
      <x:c r="D140" s="119"/>
      <x:c r="E140" s="119"/>
      <x:c r="F140" s="119"/>
      <x:c r="G140" s="119"/>
      <x:c r="H140" s="119"/>
      <x:c r="I140" s="119"/>
      <x:c r="J140" s="119"/>
      <x:c r="K140" s="119"/>
      <x:c r="L140" s="119"/>
      <x:c r="M140" s="119"/>
      <x:c r="N140" s="119"/>
      <x:c r="O140" s="119"/>
      <x:c r="P140" s="119"/>
    </x:row>
    <x:row r="141">
      <x:c r="A141" s="119"/>
      <x:c r="B141" s="119"/>
      <x:c r="C141" s="119"/>
      <x:c r="D141" s="119"/>
      <x:c r="E141" s="119"/>
      <x:c r="F141" s="119"/>
      <x:c r="G141" s="119"/>
      <x:c r="H141" s="119"/>
      <x:c r="I141" s="119"/>
      <x:c r="J141" s="119"/>
      <x:c r="K141" s="119"/>
      <x:c r="L141" s="119"/>
      <x:c r="M141" s="119"/>
      <x:c r="N141" s="119"/>
      <x:c r="O141" s="119"/>
      <x:c r="P141" s="119"/>
    </x:row>
    <x:row r="142">
      <x:c r="A142" s="119"/>
      <x:c r="B142" s="119"/>
      <x:c r="C142" s="119"/>
      <x:c r="D142" s="119"/>
      <x:c r="E142" s="119"/>
      <x:c r="F142" s="119"/>
      <x:c r="G142" s="119"/>
      <x:c r="H142" s="119"/>
      <x:c r="I142" s="119"/>
      <x:c r="J142" s="119"/>
      <x:c r="K142" s="119"/>
      <x:c r="L142" s="119"/>
      <x:c r="M142" s="119"/>
      <x:c r="N142" s="119"/>
      <x:c r="O142" s="119"/>
      <x:c r="P142" s="119"/>
    </x:row>
    <x:row r="143">
      <x:c r="A143" s="119"/>
      <x:c r="B143" s="119"/>
      <x:c r="C143" s="119"/>
      <x:c r="D143" s="119"/>
      <x:c r="E143" s="119"/>
      <x:c r="F143" s="119"/>
      <x:c r="G143" s="119"/>
      <x:c r="H143" s="119"/>
      <x:c r="I143" s="119"/>
      <x:c r="J143" s="119"/>
      <x:c r="K143" s="119"/>
      <x:c r="L143" s="119"/>
      <x:c r="M143" s="119"/>
      <x:c r="N143" s="119"/>
      <x:c r="O143" s="119"/>
      <x:c r="P143" s="119"/>
    </x:row>
    <x:row r="144">
      <x:c r="A144" s="119"/>
      <x:c r="B144" s="119"/>
      <x:c r="C144" s="119"/>
      <x:c r="D144" s="119"/>
      <x:c r="E144" s="119"/>
      <x:c r="F144" s="119"/>
      <x:c r="G144" s="119"/>
      <x:c r="H144" s="119"/>
      <x:c r="I144" s="119"/>
      <x:c r="J144" s="119"/>
      <x:c r="K144" s="119"/>
      <x:c r="L144" s="119"/>
      <x:c r="M144" s="119"/>
      <x:c r="N144" s="119"/>
      <x:c r="O144" s="119"/>
      <x:c r="P144" s="119"/>
    </x:row>
    <x:row r="145">
      <x:c r="A145" s="119"/>
      <x:c r="B145" s="119"/>
      <x:c r="C145" s="119"/>
      <x:c r="D145" s="119"/>
      <x:c r="E145" s="119"/>
      <x:c r="F145" s="119"/>
      <x:c r="G145" s="119"/>
      <x:c r="H145" s="119"/>
      <x:c r="I145" s="119"/>
      <x:c r="J145" s="119"/>
      <x:c r="K145" s="119"/>
      <x:c r="L145" s="119"/>
      <x:c r="M145" s="119"/>
      <x:c r="N145" s="119"/>
      <x:c r="O145" s="119"/>
      <x:c r="P145" s="119"/>
    </x:row>
    <x:row r="146">
      <x:c r="A146" s="119"/>
      <x:c r="B146" s="119"/>
      <x:c r="C146" s="119"/>
      <x:c r="D146" s="119"/>
      <x:c r="E146" s="119"/>
      <x:c r="F146" s="119"/>
      <x:c r="G146" s="119"/>
      <x:c r="H146" s="119"/>
      <x:c r="I146" s="119"/>
      <x:c r="J146" s="119"/>
      <x:c r="K146" s="119"/>
      <x:c r="L146" s="119"/>
      <x:c r="M146" s="119"/>
      <x:c r="N146" s="119"/>
      <x:c r="O146" s="119"/>
      <x:c r="P146" s="119"/>
    </x:row>
    <x:row r="147">
      <x:c r="A147" s="119"/>
      <x:c r="B147" s="119"/>
      <x:c r="C147" s="119"/>
      <x:c r="D147" s="119"/>
      <x:c r="E147" s="119"/>
      <x:c r="F147" s="119"/>
      <x:c r="G147" s="119"/>
      <x:c r="H147" s="119"/>
      <x:c r="I147" s="119"/>
      <x:c r="J147" s="119"/>
      <x:c r="K147" s="119"/>
      <x:c r="L147" s="119"/>
      <x:c r="M147" s="119"/>
      <x:c r="N147" s="119"/>
      <x:c r="O147" s="119"/>
      <x:c r="P147" s="119"/>
    </x:row>
    <x:row r="148">
      <x:c r="A148" s="119"/>
      <x:c r="B148" s="119"/>
      <x:c r="C148" s="119"/>
      <x:c r="D148" s="119"/>
      <x:c r="E148" s="119"/>
      <x:c r="F148" s="119"/>
      <x:c r="G148" s="119"/>
      <x:c r="H148" s="119"/>
      <x:c r="I148" s="119"/>
      <x:c r="J148" s="119"/>
      <x:c r="K148" s="119"/>
      <x:c r="L148" s="119"/>
      <x:c r="M148" s="119"/>
      <x:c r="N148" s="119"/>
      <x:c r="O148" s="119"/>
      <x:c r="P148" s="119"/>
    </x:row>
    <x:row r="149">
      <x:c r="A149" s="119"/>
      <x:c r="B149" s="119"/>
      <x:c r="C149" s="119"/>
      <x:c r="D149" s="119"/>
      <x:c r="E149" s="119"/>
      <x:c r="F149" s="119"/>
      <x:c r="G149" s="119"/>
      <x:c r="H149" s="119"/>
      <x:c r="I149" s="119"/>
      <x:c r="J149" s="119"/>
      <x:c r="K149" s="119"/>
      <x:c r="L149" s="119"/>
      <x:c r="M149" s="119"/>
      <x:c r="N149" s="119"/>
      <x:c r="O149" s="119"/>
      <x:c r="P149" s="119"/>
    </x:row>
    <x:row r="150">
      <x:c r="A150" s="119"/>
      <x:c r="B150" s="119"/>
      <x:c r="C150" s="119"/>
      <x:c r="D150" s="119"/>
      <x:c r="E150" s="119"/>
      <x:c r="F150" s="119"/>
      <x:c r="G150" s="119"/>
      <x:c r="H150" s="119"/>
      <x:c r="I150" s="119"/>
      <x:c r="J150" s="119"/>
      <x:c r="K150" s="119"/>
      <x:c r="L150" s="119"/>
      <x:c r="M150" s="119"/>
      <x:c r="N150" s="119"/>
      <x:c r="O150" s="119"/>
      <x:c r="P150" s="119"/>
    </x:row>
    <x:row r="151">
      <x:c r="A151" s="119"/>
      <x:c r="B151" s="119"/>
      <x:c r="C151" s="119"/>
      <x:c r="D151" s="119"/>
      <x:c r="E151" s="119"/>
      <x:c r="F151" s="119"/>
      <x:c r="G151" s="119"/>
      <x:c r="H151" s="119"/>
      <x:c r="I151" s="119"/>
      <x:c r="J151" s="119"/>
      <x:c r="K151" s="119"/>
      <x:c r="L151" s="119"/>
      <x:c r="M151" s="119"/>
      <x:c r="N151" s="119"/>
      <x:c r="O151" s="119"/>
      <x:c r="P151" s="119"/>
    </x:row>
    <x:row r="152">
      <x:c r="A152" s="119"/>
      <x:c r="B152" s="119"/>
      <x:c r="C152" s="119"/>
      <x:c r="D152" s="119"/>
      <x:c r="E152" s="119"/>
      <x:c r="F152" s="119"/>
      <x:c r="G152" s="119"/>
      <x:c r="H152" s="119"/>
      <x:c r="I152" s="119"/>
      <x:c r="J152" s="119"/>
      <x:c r="K152" s="119"/>
      <x:c r="L152" s="119"/>
      <x:c r="M152" s="119"/>
      <x:c r="N152" s="119"/>
      <x:c r="O152" s="119"/>
      <x:c r="P152" s="119"/>
    </x:row>
    <x:row r="153">
      <x:c r="A153" s="119"/>
      <x:c r="B153" s="119"/>
      <x:c r="C153" s="119"/>
      <x:c r="D153" s="119"/>
      <x:c r="E153" s="119"/>
      <x:c r="F153" s="119"/>
      <x:c r="G153" s="119"/>
      <x:c r="H153" s="119"/>
      <x:c r="I153" s="119"/>
      <x:c r="J153" s="119"/>
      <x:c r="K153" s="119"/>
      <x:c r="L153" s="119"/>
      <x:c r="M153" s="119"/>
      <x:c r="N153" s="119"/>
      <x:c r="O153" s="119"/>
      <x:c r="P153" s="119"/>
    </x:row>
    <x:row r="154">
      <x:c r="A154" s="119"/>
      <x:c r="B154" s="119"/>
      <x:c r="C154" s="119"/>
      <x:c r="D154" s="119"/>
      <x:c r="E154" s="119"/>
      <x:c r="F154" s="119"/>
      <x:c r="G154" s="119"/>
      <x:c r="H154" s="119"/>
      <x:c r="I154" s="119"/>
      <x:c r="J154" s="119"/>
      <x:c r="K154" s="119"/>
      <x:c r="L154" s="119"/>
      <x:c r="M154" s="119"/>
      <x:c r="N154" s="119"/>
      <x:c r="O154" s="119"/>
      <x:c r="P154" s="119"/>
    </x:row>
    <x:row r="155">
      <x:c r="A155" s="119"/>
      <x:c r="B155" s="119"/>
      <x:c r="C155" s="119"/>
      <x:c r="D155" s="119"/>
      <x:c r="E155" s="119"/>
      <x:c r="F155" s="119"/>
      <x:c r="G155" s="119"/>
      <x:c r="H155" s="119"/>
      <x:c r="I155" s="119"/>
      <x:c r="J155" s="119"/>
      <x:c r="K155" s="119"/>
      <x:c r="L155" s="119"/>
      <x:c r="M155" s="119"/>
      <x:c r="N155" s="119"/>
      <x:c r="O155" s="119"/>
      <x:c r="P155" s="119"/>
    </x:row>
    <x:row r="156">
      <x:c r="A156" s="119"/>
      <x:c r="B156" s="119"/>
      <x:c r="C156" s="119"/>
      <x:c r="D156" s="119"/>
      <x:c r="E156" s="119"/>
      <x:c r="F156" s="119"/>
      <x:c r="G156" s="119"/>
      <x:c r="H156" s="119"/>
      <x:c r="I156" s="119"/>
      <x:c r="J156" s="119"/>
      <x:c r="K156" s="119"/>
      <x:c r="L156" s="119"/>
      <x:c r="M156" s="119"/>
      <x:c r="N156" s="119"/>
      <x:c r="O156" s="119"/>
      <x:c r="P156" s="119"/>
    </x:row>
    <x:row r="157">
      <x:c r="A157" s="119"/>
      <x:c r="B157" s="119"/>
      <x:c r="C157" s="119"/>
      <x:c r="D157" s="119"/>
      <x:c r="E157" s="119"/>
      <x:c r="F157" s="119"/>
      <x:c r="G157" s="119"/>
      <x:c r="H157" s="119"/>
      <x:c r="I157" s="119"/>
      <x:c r="J157" s="119"/>
      <x:c r="K157" s="119"/>
      <x:c r="L157" s="119"/>
      <x:c r="M157" s="119"/>
      <x:c r="N157" s="119"/>
      <x:c r="O157" s="119"/>
      <x:c r="P157" s="119"/>
    </x:row>
    <x:row r="158">
      <x:c r="A158" s="119"/>
      <x:c r="B158" s="119"/>
      <x:c r="C158" s="119"/>
      <x:c r="D158" s="119"/>
      <x:c r="E158" s="119"/>
      <x:c r="F158" s="119"/>
      <x:c r="G158" s="119"/>
      <x:c r="H158" s="119"/>
      <x:c r="I158" s="119"/>
      <x:c r="J158" s="119"/>
      <x:c r="K158" s="119"/>
      <x:c r="L158" s="119"/>
      <x:c r="M158" s="119"/>
      <x:c r="N158" s="119"/>
      <x:c r="O158" s="119"/>
      <x:c r="P158" s="119"/>
    </x:row>
    <x:row r="159">
      <x:c r="A159" s="119"/>
      <x:c r="B159" s="119"/>
      <x:c r="C159" s="119"/>
      <x:c r="D159" s="119"/>
      <x:c r="E159" s="119"/>
      <x:c r="F159" s="119"/>
      <x:c r="G159" s="119"/>
      <x:c r="H159" s="119"/>
      <x:c r="I159" s="119"/>
      <x:c r="J159" s="119"/>
      <x:c r="K159" s="119"/>
      <x:c r="L159" s="119"/>
      <x:c r="M159" s="119"/>
      <x:c r="N159" s="119"/>
      <x:c r="O159" s="119"/>
      <x:c r="P159" s="119"/>
    </x:row>
    <x:row r="160">
      <x:c r="A160" s="119"/>
      <x:c r="B160" s="119"/>
      <x:c r="C160" s="119"/>
      <x:c r="D160" s="119"/>
      <x:c r="E160" s="119"/>
      <x:c r="F160" s="119"/>
      <x:c r="G160" s="119"/>
      <x:c r="H160" s="119"/>
      <x:c r="I160" s="119"/>
      <x:c r="J160" s="119"/>
      <x:c r="K160" s="119"/>
      <x:c r="L160" s="119"/>
      <x:c r="M160" s="119"/>
      <x:c r="N160" s="119"/>
      <x:c r="O160" s="119"/>
      <x:c r="P160" s="119"/>
    </x:row>
    <x:row r="161">
      <x:c r="A161" s="119"/>
      <x:c r="B161" s="119"/>
      <x:c r="C161" s="119"/>
      <x:c r="D161" s="119"/>
      <x:c r="E161" s="119"/>
      <x:c r="F161" s="119"/>
      <x:c r="G161" s="119"/>
      <x:c r="H161" s="119"/>
      <x:c r="I161" s="119"/>
      <x:c r="J161" s="119"/>
      <x:c r="K161" s="119"/>
      <x:c r="L161" s="119"/>
      <x:c r="M161" s="119"/>
      <x:c r="N161" s="119"/>
      <x:c r="O161" s="119"/>
      <x:c r="P161" s="119"/>
    </x:row>
    <x:row r="162">
      <x:c r="A162" s="119"/>
      <x:c r="B162" s="119"/>
      <x:c r="C162" s="119"/>
      <x:c r="D162" s="119"/>
      <x:c r="E162" s="119"/>
      <x:c r="F162" s="119"/>
      <x:c r="G162" s="119"/>
      <x:c r="H162" s="119"/>
      <x:c r="I162" s="119"/>
      <x:c r="J162" s="119"/>
      <x:c r="K162" s="119"/>
      <x:c r="L162" s="119"/>
      <x:c r="M162" s="119"/>
      <x:c r="N162" s="119"/>
      <x:c r="O162" s="119"/>
      <x:c r="P162" s="119"/>
    </x:row>
    <x:row r="163">
      <x:c r="A163" s="119"/>
      <x:c r="B163" s="119"/>
      <x:c r="C163" s="119"/>
      <x:c r="D163" s="119"/>
      <x:c r="E163" s="119"/>
      <x:c r="F163" s="119"/>
      <x:c r="G163" s="119"/>
      <x:c r="H163" s="119"/>
      <x:c r="I163" s="119"/>
      <x:c r="J163" s="119"/>
      <x:c r="K163" s="119"/>
      <x:c r="L163" s="119"/>
      <x:c r="M163" s="119"/>
      <x:c r="N163" s="119"/>
      <x:c r="O163" s="119"/>
      <x:c r="P163" s="119"/>
    </x:row>
    <x:row r="164">
      <x:c r="A164" s="119"/>
      <x:c r="B164" s="119"/>
      <x:c r="C164" s="119"/>
      <x:c r="D164" s="119"/>
      <x:c r="E164" s="119"/>
      <x:c r="F164" s="119"/>
      <x:c r="G164" s="119"/>
      <x:c r="H164" s="119"/>
      <x:c r="I164" s="119"/>
      <x:c r="J164" s="119"/>
      <x:c r="K164" s="119"/>
      <x:c r="L164" s="119"/>
      <x:c r="M164" s="119"/>
      <x:c r="N164" s="119"/>
      <x:c r="O164" s="119"/>
      <x:c r="P164" s="119"/>
    </x:row>
    <x:row r="165">
      <x:c r="A165" s="119"/>
      <x:c r="B165" s="119"/>
      <x:c r="C165" s="119"/>
      <x:c r="D165" s="119"/>
      <x:c r="E165" s="119"/>
      <x:c r="F165" s="119"/>
      <x:c r="G165" s="119"/>
      <x:c r="H165" s="119"/>
      <x:c r="I165" s="119"/>
      <x:c r="J165" s="119"/>
      <x:c r="K165" s="119"/>
      <x:c r="L165" s="119"/>
      <x:c r="M165" s="119"/>
      <x:c r="N165" s="119"/>
      <x:c r="O165" s="119"/>
      <x:c r="P165" s="119"/>
    </x:row>
    <x:row r="166">
      <x:c r="A166" s="119"/>
      <x:c r="B166" s="119"/>
      <x:c r="C166" s="119"/>
      <x:c r="D166" s="119"/>
      <x:c r="E166" s="119"/>
      <x:c r="F166" s="119"/>
      <x:c r="G166" s="119"/>
      <x:c r="H166" s="119"/>
      <x:c r="I166" s="119"/>
      <x:c r="J166" s="119"/>
      <x:c r="K166" s="119"/>
      <x:c r="L166" s="119"/>
      <x:c r="M166" s="119"/>
      <x:c r="N166" s="119"/>
      <x:c r="O166" s="119"/>
      <x:c r="P166" s="119"/>
    </x:row>
    <x:row r="167">
      <x:c r="A167" s="119"/>
      <x:c r="B167" s="119"/>
      <x:c r="C167" s="119"/>
      <x:c r="D167" s="119"/>
      <x:c r="E167" s="119"/>
      <x:c r="F167" s="119"/>
      <x:c r="G167" s="119"/>
      <x:c r="H167" s="119"/>
      <x:c r="I167" s="119"/>
      <x:c r="J167" s="119"/>
      <x:c r="K167" s="119"/>
      <x:c r="L167" s="119"/>
      <x:c r="M167" s="119"/>
      <x:c r="N167" s="119"/>
      <x:c r="O167" s="119"/>
      <x:c r="P167" s="119"/>
    </x:row>
    <x:row r="168">
      <x:c r="A168" s="119"/>
      <x:c r="B168" s="119"/>
      <x:c r="C168" s="119"/>
      <x:c r="D168" s="119"/>
      <x:c r="E168" s="119"/>
      <x:c r="F168" s="119"/>
      <x:c r="G168" s="119"/>
      <x:c r="H168" s="119"/>
      <x:c r="I168" s="119"/>
      <x:c r="J168" s="119"/>
      <x:c r="K168" s="119"/>
      <x:c r="L168" s="119"/>
      <x:c r="M168" s="119"/>
      <x:c r="N168" s="119"/>
      <x:c r="O168" s="119"/>
      <x:c r="P168" s="119"/>
    </x:row>
    <x:row r="169">
      <x:c r="A169" s="119"/>
      <x:c r="B169" s="119"/>
      <x:c r="C169" s="119"/>
      <x:c r="D169" s="119"/>
      <x:c r="E169" s="119"/>
      <x:c r="F169" s="119"/>
      <x:c r="G169" s="119"/>
      <x:c r="H169" s="119"/>
      <x:c r="I169" s="119"/>
      <x:c r="J169" s="119"/>
      <x:c r="K169" s="119"/>
      <x:c r="L169" s="119"/>
      <x:c r="M169" s="119"/>
      <x:c r="N169" s="119"/>
      <x:c r="O169" s="119"/>
      <x:c r="P169" s="119"/>
    </x:row>
    <x:row r="170">
      <x:c r="A170" s="119"/>
      <x:c r="B170" s="119"/>
      <x:c r="C170" s="119"/>
      <x:c r="D170" s="119"/>
      <x:c r="E170" s="119"/>
      <x:c r="F170" s="119"/>
      <x:c r="G170" s="119"/>
      <x:c r="H170" s="119"/>
      <x:c r="I170" s="119"/>
      <x:c r="J170" s="119"/>
      <x:c r="K170" s="119"/>
      <x:c r="L170" s="119"/>
      <x:c r="M170" s="119"/>
      <x:c r="N170" s="119"/>
      <x:c r="O170" s="119"/>
      <x:c r="P170" s="119"/>
    </x:row>
    <x:row r="171">
      <x:c r="A171" s="119"/>
      <x:c r="B171" s="119"/>
      <x:c r="C171" s="119"/>
      <x:c r="D171" s="119"/>
      <x:c r="E171" s="119"/>
      <x:c r="F171" s="119"/>
      <x:c r="G171" s="119"/>
      <x:c r="H171" s="119"/>
      <x:c r="I171" s="119"/>
      <x:c r="J171" s="119"/>
      <x:c r="K171" s="119"/>
      <x:c r="L171" s="119"/>
      <x:c r="M171" s="119"/>
      <x:c r="N171" s="119"/>
      <x:c r="O171" s="119"/>
      <x:c r="P171" s="119"/>
    </x:row>
    <x:row r="172">
      <x:c r="A172" s="119"/>
      <x:c r="B172" s="119"/>
      <x:c r="C172" s="119"/>
      <x:c r="D172" s="119"/>
      <x:c r="E172" s="119"/>
      <x:c r="F172" s="119"/>
      <x:c r="G172" s="119"/>
      <x:c r="H172" s="119"/>
      <x:c r="I172" s="119"/>
      <x:c r="J172" s="119"/>
      <x:c r="K172" s="119"/>
      <x:c r="L172" s="119"/>
      <x:c r="M172" s="119"/>
      <x:c r="N172" s="119"/>
      <x:c r="O172" s="119"/>
      <x:c r="P172" s="119"/>
    </x:row>
    <x:row r="173">
      <x:c r="A173" s="119"/>
      <x:c r="B173" s="119"/>
      <x:c r="C173" s="119"/>
      <x:c r="D173" s="119"/>
      <x:c r="E173" s="119"/>
      <x:c r="F173" s="119"/>
      <x:c r="G173" s="119"/>
      <x:c r="H173" s="119"/>
      <x:c r="I173" s="119"/>
      <x:c r="J173" s="119"/>
      <x:c r="K173" s="119"/>
      <x:c r="L173" s="119"/>
      <x:c r="M173" s="119"/>
      <x:c r="N173" s="119"/>
      <x:c r="O173" s="119"/>
      <x:c r="P173" s="119"/>
    </x:row>
    <x:row r="174">
      <x:c r="A174" s="119"/>
      <x:c r="B174" s="119"/>
      <x:c r="C174" s="119"/>
      <x:c r="D174" s="119"/>
      <x:c r="E174" s="119"/>
      <x:c r="F174" s="119"/>
      <x:c r="G174" s="119"/>
      <x:c r="H174" s="119"/>
      <x:c r="I174" s="119"/>
      <x:c r="J174" s="119"/>
      <x:c r="K174" s="119"/>
      <x:c r="L174" s="119"/>
      <x:c r="M174" s="119"/>
      <x:c r="N174" s="119"/>
      <x:c r="O174" s="119"/>
      <x:c r="P174" s="119"/>
    </x:row>
    <x:row r="175">
      <x:c r="A175" s="119"/>
      <x:c r="B175" s="119"/>
      <x:c r="C175" s="119"/>
      <x:c r="D175" s="119"/>
      <x:c r="E175" s="119"/>
      <x:c r="F175" s="119"/>
      <x:c r="G175" s="119"/>
      <x:c r="H175" s="119"/>
      <x:c r="I175" s="119"/>
      <x:c r="J175" s="119"/>
      <x:c r="K175" s="119"/>
      <x:c r="L175" s="119"/>
      <x:c r="M175" s="119"/>
      <x:c r="N175" s="119"/>
      <x:c r="O175" s="119"/>
      <x:c r="P175" s="119"/>
    </x:row>
    <x:row r="176">
      <x:c r="A176" s="119"/>
      <x:c r="B176" s="119"/>
      <x:c r="C176" s="119"/>
      <x:c r="D176" s="119"/>
      <x:c r="E176" s="119"/>
      <x:c r="F176" s="119"/>
      <x:c r="G176" s="119"/>
      <x:c r="H176" s="119"/>
      <x:c r="I176" s="119"/>
      <x:c r="J176" s="119"/>
      <x:c r="K176" s="119"/>
      <x:c r="L176" s="119"/>
      <x:c r="M176" s="119"/>
      <x:c r="N176" s="119"/>
      <x:c r="O176" s="119"/>
      <x:c r="P176" s="119"/>
    </x:row>
    <x:row r="177">
      <x:c r="A177" s="119"/>
      <x:c r="B177" s="119"/>
      <x:c r="C177" s="119"/>
      <x:c r="D177" s="119"/>
      <x:c r="E177" s="119"/>
      <x:c r="F177" s="119"/>
      <x:c r="G177" s="119"/>
      <x:c r="H177" s="119"/>
      <x:c r="I177" s="119"/>
      <x:c r="J177" s="119"/>
      <x:c r="K177" s="119"/>
      <x:c r="L177" s="119"/>
      <x:c r="M177" s="119"/>
      <x:c r="N177" s="119"/>
      <x:c r="O177" s="119"/>
      <x:c r="P177" s="119"/>
    </x:row>
    <x:row r="178">
      <x:c r="A178" s="119"/>
      <x:c r="B178" s="119"/>
      <x:c r="C178" s="119"/>
      <x:c r="D178" s="119"/>
      <x:c r="E178" s="119"/>
      <x:c r="F178" s="119"/>
      <x:c r="G178" s="119"/>
      <x:c r="H178" s="119"/>
      <x:c r="I178" s="119"/>
      <x:c r="J178" s="119"/>
      <x:c r="K178" s="119"/>
      <x:c r="L178" s="119"/>
      <x:c r="M178" s="119"/>
      <x:c r="N178" s="119"/>
      <x:c r="O178" s="119"/>
      <x:c r="P178" s="119"/>
    </x:row>
    <x:row r="179">
      <x:c r="A179" s="119"/>
      <x:c r="B179" s="119"/>
      <x:c r="C179" s="119"/>
      <x:c r="D179" s="119"/>
      <x:c r="E179" s="119"/>
      <x:c r="F179" s="119"/>
      <x:c r="G179" s="119"/>
      <x:c r="H179" s="119"/>
      <x:c r="I179" s="119"/>
      <x:c r="J179" s="119"/>
      <x:c r="K179" s="119"/>
      <x:c r="L179" s="119"/>
      <x:c r="M179" s="119"/>
      <x:c r="N179" s="119"/>
      <x:c r="O179" s="119"/>
      <x:c r="P179" s="119"/>
    </x:row>
    <x:row r="180">
      <x:c r="A180" s="119"/>
      <x:c r="B180" s="119"/>
      <x:c r="C180" s="119"/>
      <x:c r="D180" s="119"/>
      <x:c r="E180" s="119"/>
      <x:c r="F180" s="119"/>
      <x:c r="G180" s="119"/>
      <x:c r="H180" s="119"/>
      <x:c r="I180" s="119"/>
      <x:c r="J180" s="119"/>
      <x:c r="K180" s="119"/>
      <x:c r="L180" s="119"/>
      <x:c r="M180" s="119"/>
      <x:c r="N180" s="119"/>
      <x:c r="O180" s="119"/>
      <x:c r="P180" s="119"/>
    </x:row>
    <x:row r="181">
      <x:c r="A181" s="119"/>
      <x:c r="B181" s="119"/>
      <x:c r="C181" s="119"/>
      <x:c r="D181" s="119"/>
      <x:c r="E181" s="119"/>
      <x:c r="F181" s="119"/>
      <x:c r="G181" s="119"/>
      <x:c r="H181" s="119"/>
      <x:c r="I181" s="119"/>
      <x:c r="J181" s="119"/>
      <x:c r="K181" s="119"/>
      <x:c r="L181" s="119"/>
      <x:c r="M181" s="119"/>
      <x:c r="N181" s="119"/>
      <x:c r="O181" s="119"/>
      <x:c r="P181" s="119"/>
    </x:row>
    <x:row r="182">
      <x:c r="A182" s="119"/>
      <x:c r="B182" s="119"/>
      <x:c r="C182" s="119"/>
      <x:c r="D182" s="119"/>
      <x:c r="E182" s="119"/>
      <x:c r="F182" s="119"/>
      <x:c r="G182" s="119"/>
      <x:c r="H182" s="119"/>
      <x:c r="I182" s="119"/>
      <x:c r="J182" s="119"/>
      <x:c r="K182" s="119"/>
      <x:c r="L182" s="119"/>
      <x:c r="M182" s="119"/>
      <x:c r="N182" s="119"/>
      <x:c r="O182" s="119"/>
      <x:c r="P182" s="119"/>
    </x:row>
    <x:row r="183">
      <x:c r="A183" s="119"/>
      <x:c r="B183" s="119"/>
      <x:c r="C183" s="119"/>
      <x:c r="D183" s="119"/>
      <x:c r="E183" s="119"/>
      <x:c r="F183" s="119"/>
      <x:c r="G183" s="119"/>
      <x:c r="H183" s="119"/>
      <x:c r="I183" s="119"/>
      <x:c r="J183" s="119"/>
      <x:c r="K183" s="119"/>
      <x:c r="L183" s="119"/>
      <x:c r="M183" s="119"/>
      <x:c r="N183" s="119"/>
      <x:c r="O183" s="119"/>
      <x:c r="P183" s="119"/>
    </x:row>
    <x:row r="184">
      <x:c r="A184" s="119"/>
      <x:c r="B184" s="119"/>
      <x:c r="C184" s="119"/>
      <x:c r="D184" s="119"/>
      <x:c r="E184" s="119"/>
      <x:c r="F184" s="119"/>
      <x:c r="G184" s="119"/>
      <x:c r="H184" s="119"/>
      <x:c r="I184" s="119"/>
      <x:c r="J184" s="119"/>
      <x:c r="K184" s="119"/>
      <x:c r="L184" s="119"/>
      <x:c r="M184" s="119"/>
      <x:c r="N184" s="119"/>
      <x:c r="O184" s="119"/>
      <x:c r="P184" s="119"/>
    </x:row>
    <x:row r="185">
      <x:c r="A185" s="119"/>
      <x:c r="B185" s="119"/>
      <x:c r="C185" s="119"/>
      <x:c r="D185" s="119"/>
      <x:c r="E185" s="119"/>
      <x:c r="F185" s="119"/>
      <x:c r="G185" s="119"/>
      <x:c r="H185" s="119"/>
      <x:c r="I185" s="119"/>
      <x:c r="J185" s="119"/>
      <x:c r="K185" s="119"/>
      <x:c r="L185" s="119"/>
      <x:c r="M185" s="119"/>
      <x:c r="N185" s="119"/>
      <x:c r="O185" s="119"/>
      <x:c r="P185" s="119"/>
    </x:row>
    <x:row r="186">
      <x:c r="A186" s="119"/>
      <x:c r="B186" s="119"/>
      <x:c r="C186" s="119"/>
      <x:c r="D186" s="119"/>
      <x:c r="E186" s="119"/>
      <x:c r="F186" s="119"/>
      <x:c r="G186" s="119"/>
      <x:c r="H186" s="119"/>
      <x:c r="I186" s="119"/>
      <x:c r="J186" s="119"/>
      <x:c r="K186" s="119"/>
      <x:c r="L186" s="119"/>
      <x:c r="M186" s="119"/>
      <x:c r="N186" s="119"/>
      <x:c r="O186" s="119"/>
      <x:c r="P186" s="119"/>
    </x:row>
    <x:row r="187">
      <x:c r="A187" s="119"/>
      <x:c r="B187" s="119"/>
      <x:c r="C187" s="119"/>
      <x:c r="D187" s="119"/>
      <x:c r="E187" s="119"/>
      <x:c r="F187" s="119"/>
      <x:c r="G187" s="119"/>
      <x:c r="H187" s="119"/>
      <x:c r="I187" s="119"/>
      <x:c r="J187" s="119"/>
      <x:c r="K187" s="119"/>
      <x:c r="L187" s="119"/>
      <x:c r="M187" s="119"/>
      <x:c r="N187" s="119"/>
      <x:c r="O187" s="119"/>
      <x:c r="P187" s="119"/>
    </x:row>
    <x:row r="188">
      <x:c r="A188" s="119"/>
      <x:c r="B188" s="119"/>
      <x:c r="C188" s="119"/>
      <x:c r="D188" s="119"/>
      <x:c r="E188" s="119"/>
      <x:c r="F188" s="119"/>
      <x:c r="G188" s="119"/>
      <x:c r="H188" s="119"/>
      <x:c r="I188" s="119"/>
      <x:c r="J188" s="119"/>
      <x:c r="K188" s="119"/>
      <x:c r="L188" s="119"/>
      <x:c r="M188" s="119"/>
      <x:c r="N188" s="119"/>
      <x:c r="O188" s="119"/>
      <x:c r="P188" s="119"/>
    </x:row>
    <x:row r="189">
      <x:c r="A189" s="119"/>
      <x:c r="B189" s="119"/>
      <x:c r="C189" s="119"/>
      <x:c r="D189" s="119"/>
      <x:c r="E189" s="119"/>
      <x:c r="F189" s="119"/>
      <x:c r="G189" s="119"/>
      <x:c r="H189" s="119"/>
      <x:c r="I189" s="119"/>
      <x:c r="J189" s="119"/>
      <x:c r="K189" s="119"/>
      <x:c r="L189" s="119"/>
      <x:c r="M189" s="119"/>
      <x:c r="N189" s="119"/>
      <x:c r="O189" s="119"/>
      <x:c r="P189" s="119"/>
    </x:row>
    <x:row r="190">
      <x:c r="A190" s="119"/>
      <x:c r="B190" s="119"/>
      <x:c r="C190" s="119"/>
      <x:c r="D190" s="119"/>
      <x:c r="E190" s="119"/>
      <x:c r="F190" s="119"/>
      <x:c r="G190" s="119"/>
      <x:c r="H190" s="119"/>
      <x:c r="I190" s="119"/>
      <x:c r="J190" s="119"/>
      <x:c r="K190" s="119"/>
      <x:c r="L190" s="119"/>
      <x:c r="M190" s="119"/>
      <x:c r="N190" s="119"/>
      <x:c r="O190" s="119"/>
      <x:c r="P190" s="119"/>
    </x:row>
    <x:row r="191">
      <x:c r="A191" s="119"/>
      <x:c r="B191" s="119"/>
      <x:c r="C191" s="119"/>
      <x:c r="D191" s="119"/>
      <x:c r="E191" s="119"/>
      <x:c r="F191" s="119"/>
      <x:c r="G191" s="119"/>
      <x:c r="H191" s="119"/>
      <x:c r="I191" s="119"/>
      <x:c r="J191" s="119"/>
      <x:c r="K191" s="119"/>
      <x:c r="L191" s="119"/>
      <x:c r="M191" s="119"/>
      <x:c r="N191" s="119"/>
      <x:c r="O191" s="119"/>
      <x:c r="P191" s="119"/>
    </x:row>
    <x:row r="192">
      <x:c r="A192" s="119"/>
      <x:c r="B192" s="119"/>
      <x:c r="C192" s="119"/>
      <x:c r="D192" s="119"/>
      <x:c r="E192" s="119"/>
      <x:c r="F192" s="119"/>
      <x:c r="G192" s="119"/>
      <x:c r="H192" s="119"/>
      <x:c r="I192" s="119"/>
      <x:c r="J192" s="119"/>
      <x:c r="K192" s="119"/>
      <x:c r="L192" s="119"/>
      <x:c r="M192" s="119"/>
      <x:c r="N192" s="119"/>
      <x:c r="O192" s="119"/>
      <x:c r="P192" s="119"/>
    </x:row>
    <x:row r="193">
      <x:c r="A193" s="119"/>
      <x:c r="B193" s="119"/>
      <x:c r="C193" s="119"/>
      <x:c r="D193" s="119"/>
      <x:c r="E193" s="119"/>
      <x:c r="F193" s="119"/>
      <x:c r="G193" s="119"/>
      <x:c r="H193" s="119"/>
      <x:c r="I193" s="119"/>
      <x:c r="J193" s="119"/>
      <x:c r="K193" s="119"/>
      <x:c r="L193" s="119"/>
      <x:c r="M193" s="119"/>
      <x:c r="N193" s="119"/>
      <x:c r="O193" s="119"/>
      <x:c r="P193" s="119"/>
    </x:row>
    <x:row r="194">
      <x:c r="A194" s="119"/>
      <x:c r="B194" s="119"/>
      <x:c r="C194" s="119"/>
      <x:c r="D194" s="119"/>
      <x:c r="E194" s="119"/>
      <x:c r="F194" s="119"/>
      <x:c r="G194" s="119"/>
      <x:c r="H194" s="119"/>
      <x:c r="I194" s="119"/>
      <x:c r="J194" s="119"/>
      <x:c r="K194" s="119"/>
      <x:c r="L194" s="119"/>
      <x:c r="M194" s="119"/>
      <x:c r="N194" s="119"/>
      <x:c r="O194" s="119"/>
      <x:c r="P194" s="119"/>
    </x:row>
    <x:row r="195">
      <x:c r="A195" s="119"/>
      <x:c r="B195" s="119"/>
      <x:c r="C195" s="119"/>
      <x:c r="D195" s="119"/>
      <x:c r="E195" s="119"/>
      <x:c r="F195" s="119"/>
      <x:c r="G195" s="119"/>
      <x:c r="H195" s="119"/>
      <x:c r="I195" s="119"/>
      <x:c r="J195" s="119"/>
      <x:c r="K195" s="119"/>
      <x:c r="L195" s="119"/>
      <x:c r="M195" s="119"/>
      <x:c r="N195" s="119"/>
      <x:c r="O195" s="119"/>
      <x:c r="P195" s="119"/>
    </x:row>
    <x:row r="196">
      <x:c r="A196" s="119"/>
      <x:c r="B196" s="119"/>
      <x:c r="C196" s="119"/>
      <x:c r="D196" s="119"/>
      <x:c r="E196" s="119"/>
      <x:c r="F196" s="119"/>
      <x:c r="G196" s="119"/>
      <x:c r="H196" s="119"/>
      <x:c r="I196" s="119"/>
      <x:c r="J196" s="119"/>
      <x:c r="K196" s="119"/>
      <x:c r="L196" s="119"/>
      <x:c r="M196" s="119"/>
      <x:c r="N196" s="119"/>
      <x:c r="O196" s="119"/>
      <x:c r="P196" s="119"/>
    </x:row>
    <x:row r="197">
      <x:c r="A197" s="119"/>
      <x:c r="B197" s="119"/>
      <x:c r="C197" s="119"/>
      <x:c r="D197" s="119"/>
      <x:c r="E197" s="119"/>
      <x:c r="F197" s="119"/>
      <x:c r="G197" s="119"/>
      <x:c r="H197" s="119"/>
      <x:c r="I197" s="119"/>
      <x:c r="J197" s="119"/>
      <x:c r="K197" s="119"/>
      <x:c r="L197" s="119"/>
      <x:c r="M197" s="119"/>
      <x:c r="N197" s="119"/>
      <x:c r="O197" s="119"/>
      <x:c r="P197" s="119"/>
    </x:row>
    <x:row r="198">
      <x:c r="A198" s="119"/>
      <x:c r="B198" s="119"/>
      <x:c r="C198" s="119"/>
      <x:c r="D198" s="119"/>
      <x:c r="E198" s="119"/>
      <x:c r="F198" s="119"/>
      <x:c r="G198" s="119"/>
      <x:c r="H198" s="119"/>
      <x:c r="I198" s="119"/>
      <x:c r="J198" s="119"/>
      <x:c r="K198" s="119"/>
      <x:c r="L198" s="119"/>
      <x:c r="M198" s="119"/>
      <x:c r="N198" s="119"/>
      <x:c r="O198" s="119"/>
      <x:c r="P198" s="119"/>
    </x:row>
    <x:row r="199">
      <x:c r="A199" s="119"/>
      <x:c r="B199" s="119"/>
      <x:c r="C199" s="119"/>
      <x:c r="D199" s="119"/>
      <x:c r="E199" s="119"/>
      <x:c r="F199" s="119"/>
      <x:c r="G199" s="119"/>
      <x:c r="H199" s="119"/>
      <x:c r="I199" s="119"/>
      <x:c r="J199" s="119"/>
      <x:c r="K199" s="119"/>
      <x:c r="L199" s="119"/>
      <x:c r="M199" s="119"/>
      <x:c r="N199" s="119"/>
      <x:c r="O199" s="119"/>
      <x:c r="P199" s="119"/>
    </x:row>
    <x:row r="200">
      <x:c r="A200" s="119"/>
      <x:c r="B200" s="119"/>
      <x:c r="C200" s="119"/>
      <x:c r="D200" s="119"/>
      <x:c r="E200" s="119"/>
      <x:c r="F200" s="119"/>
      <x:c r="G200" s="119"/>
      <x:c r="H200" s="119"/>
      <x:c r="I200" s="119"/>
      <x:c r="J200" s="119"/>
      <x:c r="K200" s="119"/>
      <x:c r="L200" s="119"/>
      <x:c r="M200" s="119"/>
      <x:c r="N200" s="119"/>
      <x:c r="O200" s="119"/>
      <x:c r="P200" s="119"/>
    </x:row>
    <x:row r="201">
      <x:c r="A201" s="119"/>
      <x:c r="B201" s="119"/>
      <x:c r="C201" s="119"/>
      <x:c r="D201" s="119"/>
      <x:c r="E201" s="119"/>
      <x:c r="F201" s="119"/>
      <x:c r="G201" s="119"/>
      <x:c r="H201" s="119"/>
      <x:c r="I201" s="119"/>
      <x:c r="J201" s="119"/>
      <x:c r="K201" s="119"/>
      <x:c r="L201" s="119"/>
      <x:c r="M201" s="119"/>
      <x:c r="N201" s="119"/>
      <x:c r="O201" s="119"/>
      <x:c r="P201" s="119"/>
    </x:row>
    <x:row r="202">
      <x:c r="A202" s="119"/>
      <x:c r="B202" s="119"/>
      <x:c r="C202" s="119"/>
      <x:c r="D202" s="119"/>
      <x:c r="E202" s="119"/>
      <x:c r="F202" s="119"/>
      <x:c r="G202" s="119"/>
      <x:c r="H202" s="119"/>
      <x:c r="I202" s="119"/>
      <x:c r="J202" s="119"/>
      <x:c r="K202" s="119"/>
      <x:c r="L202" s="119"/>
      <x:c r="M202" s="119"/>
      <x:c r="N202" s="119"/>
      <x:c r="O202" s="119"/>
      <x:c r="P202" s="119"/>
    </x:row>
    <x:row r="203">
      <x:c r="A203" s="119"/>
      <x:c r="B203" s="119"/>
      <x:c r="C203" s="119"/>
      <x:c r="D203" s="119"/>
      <x:c r="E203" s="119"/>
      <x:c r="F203" s="119"/>
      <x:c r="G203" s="119"/>
      <x:c r="H203" s="119"/>
      <x:c r="I203" s="119"/>
      <x:c r="J203" s="119"/>
      <x:c r="K203" s="119"/>
      <x:c r="L203" s="119"/>
      <x:c r="M203" s="119"/>
      <x:c r="N203" s="119"/>
      <x:c r="O203" s="119"/>
      <x:c r="P203" s="119"/>
    </x:row>
    <x:row r="204">
      <x:c r="A204" s="119"/>
      <x:c r="B204" s="119"/>
      <x:c r="C204" s="119"/>
      <x:c r="D204" s="119"/>
      <x:c r="E204" s="119"/>
      <x:c r="F204" s="119"/>
      <x:c r="G204" s="119"/>
      <x:c r="H204" s="119"/>
      <x:c r="I204" s="119"/>
      <x:c r="J204" s="119"/>
      <x:c r="K204" s="119"/>
      <x:c r="L204" s="119"/>
      <x:c r="M204" s="119"/>
      <x:c r="N204" s="119"/>
      <x:c r="O204" s="119"/>
      <x:c r="P204" s="119"/>
    </x:row>
    <x:row r="205">
      <x:c r="A205" s="119"/>
      <x:c r="B205" s="119"/>
      <x:c r="C205" s="119"/>
      <x:c r="D205" s="119"/>
      <x:c r="E205" s="119"/>
      <x:c r="F205" s="119"/>
      <x:c r="G205" s="119"/>
      <x:c r="H205" s="119"/>
      <x:c r="I205" s="119"/>
      <x:c r="J205" s="119"/>
      <x:c r="K205" s="119"/>
      <x:c r="L205" s="119"/>
      <x:c r="M205" s="119"/>
      <x:c r="N205" s="119"/>
      <x:c r="O205" s="119"/>
      <x:c r="P205" s="119"/>
    </x:row>
    <x:row r="206">
      <x:c r="A206" s="119"/>
      <x:c r="B206" s="119"/>
      <x:c r="C206" s="119"/>
      <x:c r="D206" s="119"/>
      <x:c r="E206" s="119"/>
      <x:c r="F206" s="119"/>
      <x:c r="G206" s="119"/>
      <x:c r="H206" s="119"/>
      <x:c r="I206" s="119"/>
      <x:c r="J206" s="119"/>
      <x:c r="K206" s="119"/>
      <x:c r="L206" s="119"/>
      <x:c r="M206" s="119"/>
      <x:c r="N206" s="119"/>
      <x:c r="O206" s="119"/>
      <x:c r="P206" s="119"/>
    </x:row>
    <x:row r="207">
      <x:c r="A207" s="119"/>
      <x:c r="B207" s="119"/>
      <x:c r="C207" s="119"/>
      <x:c r="D207" s="119"/>
      <x:c r="E207" s="119"/>
      <x:c r="F207" s="119"/>
      <x:c r="G207" s="119"/>
      <x:c r="H207" s="119"/>
      <x:c r="I207" s="119"/>
      <x:c r="J207" s="119"/>
      <x:c r="K207" s="119"/>
      <x:c r="L207" s="119"/>
      <x:c r="M207" s="119"/>
      <x:c r="N207" s="119"/>
      <x:c r="O207" s="119"/>
      <x:c r="P207" s="119"/>
    </x:row>
    <x:row r="208">
      <x:c r="A208" s="119"/>
      <x:c r="B208" s="119"/>
      <x:c r="C208" s="119"/>
      <x:c r="D208" s="119"/>
      <x:c r="E208" s="119"/>
      <x:c r="F208" s="119"/>
      <x:c r="G208" s="119"/>
      <x:c r="H208" s="119"/>
      <x:c r="I208" s="119"/>
      <x:c r="J208" s="119"/>
      <x:c r="K208" s="119"/>
      <x:c r="L208" s="119"/>
      <x:c r="M208" s="119"/>
      <x:c r="N208" s="119"/>
      <x:c r="O208" s="119"/>
      <x:c r="P208" s="119"/>
    </x:row>
    <x:row r="209">
      <x:c r="A209" s="119"/>
      <x:c r="B209" s="119"/>
      <x:c r="C209" s="119"/>
      <x:c r="D209" s="119"/>
      <x:c r="E209" s="119"/>
      <x:c r="F209" s="119"/>
      <x:c r="G209" s="119"/>
      <x:c r="H209" s="119"/>
      <x:c r="I209" s="119"/>
      <x:c r="J209" s="119"/>
      <x:c r="K209" s="119"/>
      <x:c r="L209" s="119"/>
      <x:c r="M209" s="119"/>
      <x:c r="N209" s="119"/>
      <x:c r="O209" s="119"/>
      <x:c r="P209" s="119"/>
    </x:row>
    <x:row r="210">
      <x:c r="A210" s="119"/>
      <x:c r="B210" s="119"/>
      <x:c r="C210" s="119"/>
      <x:c r="D210" s="119"/>
      <x:c r="E210" s="119"/>
      <x:c r="F210" s="119"/>
      <x:c r="G210" s="119"/>
      <x:c r="H210" s="119"/>
      <x:c r="I210" s="119"/>
      <x:c r="J210" s="119"/>
      <x:c r="K210" s="119"/>
      <x:c r="L210" s="119"/>
      <x:c r="M210" s="119"/>
      <x:c r="N210" s="119"/>
      <x:c r="O210" s="119"/>
      <x:c r="P210" s="119"/>
    </x:row>
    <x:row r="211">
      <x:c r="A211" s="119"/>
      <x:c r="B211" s="119"/>
      <x:c r="C211" s="119"/>
      <x:c r="D211" s="119"/>
      <x:c r="E211" s="119"/>
      <x:c r="F211" s="119"/>
      <x:c r="G211" s="119"/>
      <x:c r="H211" s="119"/>
      <x:c r="I211" s="119"/>
      <x:c r="J211" s="119"/>
      <x:c r="K211" s="119"/>
      <x:c r="L211" s="119"/>
      <x:c r="M211" s="119"/>
      <x:c r="N211" s="119"/>
      <x:c r="O211" s="119"/>
      <x:c r="P211" s="119"/>
    </x:row>
    <x:row r="212">
      <x:c r="A212" s="119"/>
      <x:c r="B212" s="119"/>
      <x:c r="C212" s="119"/>
      <x:c r="D212" s="119"/>
      <x:c r="E212" s="119"/>
      <x:c r="F212" s="119"/>
      <x:c r="G212" s="119"/>
      <x:c r="H212" s="119"/>
      <x:c r="I212" s="119"/>
      <x:c r="J212" s="119"/>
      <x:c r="K212" s="119"/>
      <x:c r="L212" s="119"/>
      <x:c r="M212" s="119"/>
      <x:c r="N212" s="119"/>
      <x:c r="O212" s="119"/>
      <x:c r="P212" s="119"/>
    </x:row>
    <x:row r="213">
      <x:c r="A213" s="119"/>
      <x:c r="B213" s="119"/>
      <x:c r="C213" s="119"/>
      <x:c r="D213" s="119"/>
      <x:c r="E213" s="119"/>
      <x:c r="F213" s="119"/>
      <x:c r="G213" s="119"/>
      <x:c r="H213" s="119"/>
      <x:c r="I213" s="119"/>
      <x:c r="J213" s="119"/>
      <x:c r="K213" s="119"/>
      <x:c r="L213" s="119"/>
      <x:c r="M213" s="119"/>
      <x:c r="N213" s="119"/>
      <x:c r="O213" s="119"/>
      <x:c r="P213" s="119"/>
    </x:row>
    <x:row r="214">
      <x:c r="A214" s="119"/>
      <x:c r="B214" s="119"/>
      <x:c r="C214" s="119"/>
      <x:c r="D214" s="119"/>
      <x:c r="E214" s="119"/>
      <x:c r="F214" s="119"/>
      <x:c r="G214" s="119"/>
      <x:c r="H214" s="119"/>
      <x:c r="I214" s="119"/>
      <x:c r="J214" s="119"/>
      <x:c r="K214" s="119"/>
      <x:c r="L214" s="119"/>
      <x:c r="M214" s="119"/>
      <x:c r="N214" s="119"/>
      <x:c r="O214" s="119"/>
      <x:c r="P214" s="119"/>
    </x:row>
    <x:row r="215">
      <x:c r="A215" s="119"/>
      <x:c r="B215" s="119"/>
      <x:c r="C215" s="119"/>
      <x:c r="D215" s="119"/>
      <x:c r="E215" s="119"/>
      <x:c r="F215" s="119"/>
      <x:c r="G215" s="119"/>
      <x:c r="H215" s="119"/>
      <x:c r="I215" s="119"/>
      <x:c r="J215" s="119"/>
      <x:c r="K215" s="119"/>
      <x:c r="L215" s="119"/>
      <x:c r="M215" s="119"/>
      <x:c r="N215" s="119"/>
      <x:c r="O215" s="119"/>
      <x:c r="P215" s="119"/>
    </x:row>
    <x:row r="216">
      <x:c r="A216" s="119"/>
      <x:c r="B216" s="119"/>
      <x:c r="C216" s="119"/>
      <x:c r="D216" s="119"/>
      <x:c r="E216" s="119"/>
      <x:c r="F216" s="119"/>
      <x:c r="G216" s="119"/>
      <x:c r="H216" s="119"/>
      <x:c r="I216" s="119"/>
      <x:c r="J216" s="119"/>
      <x:c r="K216" s="119"/>
      <x:c r="L216" s="119"/>
      <x:c r="M216" s="119"/>
      <x:c r="N216" s="119"/>
      <x:c r="O216" s="119"/>
      <x:c r="P216" s="119"/>
    </x:row>
    <x:row r="217">
      <x:c r="A217" s="119"/>
      <x:c r="B217" s="119"/>
      <x:c r="C217" s="119"/>
      <x:c r="D217" s="119"/>
      <x:c r="E217" s="119"/>
      <x:c r="F217" s="119"/>
      <x:c r="G217" s="119"/>
      <x:c r="H217" s="119"/>
      <x:c r="I217" s="119"/>
      <x:c r="J217" s="119"/>
      <x:c r="K217" s="119"/>
      <x:c r="L217" s="119"/>
      <x:c r="M217" s="119"/>
      <x:c r="N217" s="119"/>
      <x:c r="O217" s="119"/>
      <x:c r="P217" s="119"/>
    </x:row>
    <x:row r="218">
      <x:c r="A218" s="119"/>
      <x:c r="B218" s="119"/>
      <x:c r="C218" s="119"/>
      <x:c r="D218" s="119"/>
      <x:c r="E218" s="119"/>
      <x:c r="F218" s="119"/>
      <x:c r="G218" s="119"/>
      <x:c r="H218" s="119"/>
      <x:c r="I218" s="119"/>
      <x:c r="J218" s="119"/>
      <x:c r="K218" s="119"/>
      <x:c r="L218" s="119"/>
      <x:c r="M218" s="119"/>
      <x:c r="N218" s="119"/>
      <x:c r="O218" s="119"/>
      <x:c r="P218" s="119"/>
    </x:row>
    <x:row r="219">
      <x:c r="A219" s="119"/>
      <x:c r="B219" s="119"/>
      <x:c r="C219" s="119"/>
      <x:c r="D219" s="119"/>
      <x:c r="E219" s="119"/>
      <x:c r="F219" s="119"/>
      <x:c r="G219" s="119"/>
      <x:c r="H219" s="119"/>
      <x:c r="I219" s="119"/>
      <x:c r="J219" s="119"/>
      <x:c r="K219" s="119"/>
      <x:c r="L219" s="119"/>
      <x:c r="M219" s="119"/>
      <x:c r="N219" s="119"/>
      <x:c r="O219" s="119"/>
      <x:c r="P219" s="119"/>
    </x:row>
    <x:row r="220">
      <x:c r="A220" s="119"/>
      <x:c r="B220" s="119"/>
      <x:c r="C220" s="119"/>
      <x:c r="D220" s="119"/>
      <x:c r="E220" s="119"/>
      <x:c r="F220" s="119"/>
      <x:c r="G220" s="119"/>
      <x:c r="H220" s="119"/>
      <x:c r="I220" s="119"/>
      <x:c r="J220" s="119"/>
      <x:c r="K220" s="119"/>
      <x:c r="L220" s="119"/>
      <x:c r="M220" s="119"/>
      <x:c r="N220" s="119"/>
      <x:c r="O220" s="119"/>
      <x:c r="P220" s="119"/>
    </x:row>
    <x:row r="221">
      <x:c r="A221" s="119"/>
      <x:c r="B221" s="119"/>
      <x:c r="C221" s="119"/>
      <x:c r="D221" s="119"/>
      <x:c r="E221" s="119"/>
      <x:c r="F221" s="119"/>
      <x:c r="G221" s="119"/>
      <x:c r="H221" s="119"/>
      <x:c r="I221" s="119"/>
      <x:c r="J221" s="119"/>
      <x:c r="K221" s="119"/>
      <x:c r="L221" s="119"/>
      <x:c r="M221" s="119"/>
      <x:c r="N221" s="119"/>
      <x:c r="O221" s="119"/>
      <x:c r="P221" s="119"/>
    </x:row>
    <x:row r="222">
      <x:c r="A222" s="119"/>
      <x:c r="B222" s="119"/>
      <x:c r="C222" s="119"/>
      <x:c r="D222" s="119"/>
      <x:c r="E222" s="119"/>
      <x:c r="F222" s="119"/>
      <x:c r="G222" s="119"/>
      <x:c r="H222" s="119"/>
      <x:c r="I222" s="119"/>
      <x:c r="J222" s="119"/>
      <x:c r="K222" s="119"/>
      <x:c r="L222" s="119"/>
      <x:c r="M222" s="119"/>
      <x:c r="N222" s="119"/>
      <x:c r="O222" s="119"/>
      <x:c r="P222" s="119"/>
    </x:row>
    <x:row r="223">
      <x:c r="A223" s="119"/>
      <x:c r="B223" s="119"/>
      <x:c r="C223" s="119"/>
      <x:c r="D223" s="119"/>
      <x:c r="E223" s="119"/>
      <x:c r="F223" s="119"/>
      <x:c r="G223" s="119"/>
      <x:c r="H223" s="119"/>
      <x:c r="I223" s="119"/>
      <x:c r="J223" s="119"/>
      <x:c r="K223" s="119"/>
      <x:c r="L223" s="119"/>
      <x:c r="M223" s="119"/>
      <x:c r="N223" s="119"/>
      <x:c r="O223" s="119"/>
      <x:c r="P223" s="119"/>
    </x:row>
    <x:row r="224">
      <x:c r="A224" s="119"/>
      <x:c r="B224" s="119"/>
      <x:c r="C224" s="119"/>
      <x:c r="D224" s="119"/>
      <x:c r="E224" s="119"/>
      <x:c r="F224" s="119"/>
      <x:c r="G224" s="119"/>
      <x:c r="H224" s="119"/>
      <x:c r="I224" s="119"/>
      <x:c r="J224" s="119"/>
      <x:c r="K224" s="119"/>
      <x:c r="L224" s="119"/>
      <x:c r="M224" s="119"/>
      <x:c r="N224" s="119"/>
      <x:c r="O224" s="119"/>
      <x:c r="P224" s="119"/>
    </x:row>
    <x:row r="225">
      <x:c r="A225" s="119"/>
      <x:c r="B225" s="119"/>
      <x:c r="C225" s="119"/>
      <x:c r="D225" s="119"/>
      <x:c r="E225" s="119"/>
      <x:c r="F225" s="119"/>
      <x:c r="G225" s="119"/>
      <x:c r="H225" s="119"/>
      <x:c r="I225" s="119"/>
      <x:c r="J225" s="119"/>
      <x:c r="K225" s="119"/>
      <x:c r="L225" s="119"/>
      <x:c r="M225" s="119"/>
      <x:c r="N225" s="119"/>
      <x:c r="O225" s="119"/>
      <x:c r="P225" s="119"/>
    </x:row>
    <x:row r="226">
      <x:c r="A226" s="119"/>
      <x:c r="B226" s="119"/>
      <x:c r="C226" s="119"/>
      <x:c r="D226" s="119"/>
      <x:c r="E226" s="119"/>
      <x:c r="F226" s="119"/>
      <x:c r="G226" s="119"/>
      <x:c r="H226" s="119"/>
      <x:c r="I226" s="119"/>
      <x:c r="J226" s="119"/>
      <x:c r="K226" s="119"/>
      <x:c r="L226" s="119"/>
      <x:c r="M226" s="119"/>
      <x:c r="N226" s="119"/>
      <x:c r="O226" s="119"/>
      <x:c r="P226" s="119"/>
    </x:row>
    <x:row r="227">
      <x:c r="A227" s="119"/>
      <x:c r="B227" s="119"/>
      <x:c r="C227" s="119"/>
      <x:c r="D227" s="119"/>
      <x:c r="E227" s="119"/>
      <x:c r="F227" s="119"/>
      <x:c r="G227" s="119"/>
      <x:c r="H227" s="119"/>
      <x:c r="I227" s="119"/>
      <x:c r="J227" s="119"/>
      <x:c r="K227" s="119"/>
      <x:c r="L227" s="119"/>
      <x:c r="M227" s="119"/>
      <x:c r="N227" s="119"/>
      <x:c r="O227" s="119"/>
      <x:c r="P227" s="119"/>
    </x:row>
    <x:row r="228">
      <x:c r="A228" s="119"/>
      <x:c r="B228" s="119"/>
      <x:c r="C228" s="119"/>
      <x:c r="D228" s="119"/>
      <x:c r="E228" s="119"/>
      <x:c r="F228" s="119"/>
      <x:c r="G228" s="119"/>
      <x:c r="H228" s="119"/>
      <x:c r="I228" s="119"/>
      <x:c r="J228" s="119"/>
      <x:c r="K228" s="119"/>
      <x:c r="L228" s="119"/>
      <x:c r="M228" s="119"/>
      <x:c r="N228" s="119"/>
      <x:c r="O228" s="119"/>
      <x:c r="P228" s="119"/>
    </x:row>
    <x:row r="229">
      <x:c r="A229" s="119"/>
      <x:c r="B229" s="119"/>
      <x:c r="C229" s="119"/>
      <x:c r="D229" s="119"/>
      <x:c r="E229" s="119"/>
      <x:c r="F229" s="119"/>
      <x:c r="G229" s="119"/>
      <x:c r="H229" s="119"/>
      <x:c r="I229" s="119"/>
      <x:c r="J229" s="119"/>
      <x:c r="K229" s="119"/>
      <x:c r="L229" s="119"/>
      <x:c r="M229" s="119"/>
      <x:c r="N229" s="119"/>
      <x:c r="O229" s="119"/>
      <x:c r="P229" s="119"/>
    </x:row>
    <x:row r="230">
      <x:c r="A230" s="119"/>
      <x:c r="B230" s="119"/>
      <x:c r="C230" s="119"/>
      <x:c r="D230" s="119"/>
      <x:c r="E230" s="119"/>
      <x:c r="F230" s="119"/>
      <x:c r="G230" s="119"/>
      <x:c r="H230" s="119"/>
      <x:c r="I230" s="119"/>
      <x:c r="J230" s="119"/>
      <x:c r="K230" s="119"/>
      <x:c r="L230" s="119"/>
      <x:c r="M230" s="119"/>
      <x:c r="N230" s="119"/>
      <x:c r="O230" s="119"/>
      <x:c r="P230" s="119"/>
    </x:row>
    <x:row r="231">
      <x:c r="A231" s="119"/>
      <x:c r="B231" s="119"/>
      <x:c r="C231" s="119"/>
      <x:c r="D231" s="119"/>
      <x:c r="E231" s="119"/>
      <x:c r="F231" s="119"/>
      <x:c r="G231" s="119"/>
      <x:c r="H231" s="119"/>
      <x:c r="I231" s="119"/>
      <x:c r="J231" s="119"/>
      <x:c r="K231" s="119"/>
      <x:c r="L231" s="119"/>
      <x:c r="M231" s="119"/>
      <x:c r="N231" s="119"/>
      <x:c r="O231" s="119"/>
      <x:c r="P231" s="119"/>
    </x:row>
    <x:row r="232">
      <x:c r="A232" s="119"/>
      <x:c r="B232" s="119"/>
      <x:c r="C232" s="119"/>
      <x:c r="D232" s="119"/>
      <x:c r="E232" s="119"/>
      <x:c r="F232" s="119"/>
      <x:c r="G232" s="119"/>
      <x:c r="H232" s="119"/>
      <x:c r="I232" s="119"/>
      <x:c r="J232" s="119"/>
      <x:c r="K232" s="119"/>
      <x:c r="L232" s="119"/>
      <x:c r="M232" s="119"/>
      <x:c r="N232" s="119"/>
      <x:c r="O232" s="119"/>
      <x:c r="P232" s="119"/>
    </x:row>
    <x:row r="233">
      <x:c r="A233" s="119"/>
      <x:c r="B233" s="119"/>
      <x:c r="C233" s="119"/>
      <x:c r="D233" s="119"/>
      <x:c r="E233" s="119"/>
      <x:c r="F233" s="119"/>
      <x:c r="G233" s="119"/>
      <x:c r="H233" s="119"/>
      <x:c r="I233" s="119"/>
      <x:c r="J233" s="119"/>
      <x:c r="K233" s="119"/>
      <x:c r="L233" s="119"/>
      <x:c r="M233" s="119"/>
      <x:c r="N233" s="119"/>
      <x:c r="O233" s="119"/>
      <x:c r="P233" s="119"/>
    </x:row>
    <x:row r="234">
      <x:c r="A234" s="119"/>
      <x:c r="B234" s="119"/>
      <x:c r="C234" s="119"/>
      <x:c r="D234" s="119"/>
      <x:c r="E234" s="119"/>
      <x:c r="F234" s="119"/>
      <x:c r="G234" s="119"/>
      <x:c r="H234" s="119"/>
      <x:c r="I234" s="119"/>
      <x:c r="J234" s="119"/>
      <x:c r="K234" s="119"/>
      <x:c r="L234" s="119"/>
      <x:c r="M234" s="119"/>
      <x:c r="N234" s="119"/>
      <x:c r="O234" s="119"/>
      <x:c r="P234" s="119"/>
    </x:row>
    <x:row r="235">
      <x:c r="A235" s="119"/>
      <x:c r="B235" s="119"/>
      <x:c r="C235" s="119"/>
      <x:c r="D235" s="119"/>
      <x:c r="E235" s="119"/>
      <x:c r="F235" s="119"/>
      <x:c r="G235" s="119"/>
      <x:c r="H235" s="119"/>
      <x:c r="I235" s="119"/>
      <x:c r="J235" s="119"/>
      <x:c r="K235" s="119"/>
      <x:c r="L235" s="119"/>
      <x:c r="M235" s="119"/>
      <x:c r="N235" s="119"/>
      <x:c r="O235" s="119"/>
      <x:c r="P235" s="119"/>
    </x:row>
    <x:row r="236">
      <x:c r="A236" s="119"/>
      <x:c r="B236" s="119"/>
      <x:c r="C236" s="119"/>
      <x:c r="D236" s="119"/>
      <x:c r="E236" s="119"/>
      <x:c r="F236" s="119"/>
      <x:c r="G236" s="119"/>
      <x:c r="H236" s="119"/>
      <x:c r="I236" s="119"/>
      <x:c r="J236" s="119"/>
      <x:c r="K236" s="119"/>
      <x:c r="L236" s="119"/>
      <x:c r="M236" s="119"/>
      <x:c r="N236" s="119"/>
      <x:c r="O236" s="119"/>
      <x:c r="P236" s="119"/>
    </x:row>
    <x:row r="237">
      <x:c r="A237" s="119"/>
      <x:c r="B237" s="119"/>
      <x:c r="C237" s="119"/>
      <x:c r="D237" s="119"/>
      <x:c r="E237" s="119"/>
      <x:c r="F237" s="119"/>
      <x:c r="G237" s="119"/>
      <x:c r="H237" s="119"/>
      <x:c r="I237" s="119"/>
      <x:c r="J237" s="119"/>
      <x:c r="K237" s="119"/>
      <x:c r="L237" s="119"/>
      <x:c r="M237" s="119"/>
      <x:c r="N237" s="119"/>
      <x:c r="O237" s="119"/>
      <x:c r="P237" s="119"/>
    </x:row>
    <x:row r="238">
      <x:c r="A238" s="119"/>
      <x:c r="B238" s="119"/>
      <x:c r="C238" s="119"/>
      <x:c r="D238" s="119"/>
      <x:c r="E238" s="119"/>
      <x:c r="F238" s="119"/>
      <x:c r="G238" s="119"/>
      <x:c r="H238" s="119"/>
      <x:c r="I238" s="119"/>
      <x:c r="J238" s="119"/>
      <x:c r="K238" s="119"/>
      <x:c r="L238" s="119"/>
      <x:c r="M238" s="119"/>
      <x:c r="N238" s="119"/>
      <x:c r="O238" s="119"/>
      <x:c r="P238" s="119"/>
    </x:row>
    <x:row r="239">
      <x:c r="A239" s="119"/>
      <x:c r="B239" s="119"/>
      <x:c r="C239" s="119"/>
      <x:c r="D239" s="119"/>
      <x:c r="E239" s="119"/>
      <x:c r="F239" s="119"/>
      <x:c r="G239" s="119"/>
      <x:c r="H239" s="119"/>
      <x:c r="I239" s="119"/>
      <x:c r="J239" s="119"/>
      <x:c r="K239" s="119"/>
      <x:c r="L239" s="119"/>
      <x:c r="M239" s="119"/>
      <x:c r="N239" s="119"/>
      <x:c r="O239" s="119"/>
      <x:c r="P239" s="119"/>
    </x:row>
    <x:row r="240">
      <x:c r="A240" s="119"/>
      <x:c r="B240" s="119"/>
      <x:c r="C240" s="119"/>
      <x:c r="D240" s="119"/>
      <x:c r="E240" s="119"/>
      <x:c r="F240" s="119"/>
      <x:c r="G240" s="119"/>
      <x:c r="H240" s="119"/>
      <x:c r="I240" s="119"/>
      <x:c r="J240" s="119"/>
      <x:c r="K240" s="119"/>
      <x:c r="L240" s="119"/>
      <x:c r="M240" s="119"/>
      <x:c r="N240" s="119"/>
      <x:c r="O240" s="119"/>
      <x:c r="P240" s="119"/>
    </x:row>
    <x:row r="241">
      <x:c r="A241" s="119"/>
      <x:c r="B241" s="119"/>
      <x:c r="C241" s="119"/>
      <x:c r="D241" s="119"/>
      <x:c r="E241" s="119"/>
      <x:c r="F241" s="119"/>
      <x:c r="G241" s="119"/>
      <x:c r="H241" s="119"/>
      <x:c r="I241" s="119"/>
      <x:c r="J241" s="119"/>
      <x:c r="K241" s="119"/>
      <x:c r="L241" s="119"/>
      <x:c r="M241" s="119"/>
      <x:c r="N241" s="119"/>
      <x:c r="O241" s="119"/>
      <x:c r="P241" s="119"/>
    </x:row>
    <x:row r="242">
      <x:c r="A242" s="119"/>
      <x:c r="B242" s="119"/>
      <x:c r="C242" s="119"/>
      <x:c r="D242" s="119"/>
      <x:c r="E242" s="119"/>
      <x:c r="F242" s="119"/>
      <x:c r="G242" s="119"/>
      <x:c r="H242" s="119"/>
      <x:c r="I242" s="119"/>
      <x:c r="J242" s="119"/>
      <x:c r="K242" s="119"/>
      <x:c r="L242" s="119"/>
      <x:c r="M242" s="119"/>
      <x:c r="N242" s="119"/>
      <x:c r="O242" s="119"/>
      <x:c r="P242" s="119"/>
    </x:row>
    <x:row r="243">
      <x:c r="A243" s="119"/>
      <x:c r="B243" s="119"/>
      <x:c r="C243" s="119"/>
      <x:c r="D243" s="119"/>
      <x:c r="E243" s="119"/>
      <x:c r="F243" s="119"/>
      <x:c r="G243" s="119"/>
      <x:c r="H243" s="119"/>
      <x:c r="I243" s="119"/>
      <x:c r="J243" s="119"/>
      <x:c r="K243" s="119"/>
      <x:c r="L243" s="119"/>
      <x:c r="M243" s="119"/>
      <x:c r="N243" s="119"/>
      <x:c r="O243" s="119"/>
      <x:c r="P243" s="119"/>
    </x:row>
    <x:row r="244">
      <x:c r="A244" s="119"/>
      <x:c r="B244" s="119"/>
      <x:c r="C244" s="119"/>
      <x:c r="D244" s="119"/>
      <x:c r="E244" s="119"/>
      <x:c r="F244" s="119"/>
      <x:c r="G244" s="119"/>
      <x:c r="H244" s="119"/>
      <x:c r="I244" s="119"/>
      <x:c r="J244" s="119"/>
      <x:c r="K244" s="119"/>
      <x:c r="L244" s="119"/>
      <x:c r="M244" s="119"/>
      <x:c r="N244" s="119"/>
      <x:c r="O244" s="119"/>
      <x:c r="P244" s="119"/>
    </x:row>
    <x:row r="245">
      <x:c r="A245" s="119"/>
      <x:c r="B245" s="119"/>
      <x:c r="C245" s="119"/>
      <x:c r="D245" s="119"/>
      <x:c r="E245" s="119"/>
      <x:c r="F245" s="119"/>
      <x:c r="G245" s="119"/>
      <x:c r="H245" s="119"/>
      <x:c r="I245" s="119"/>
      <x:c r="J245" s="119"/>
      <x:c r="K245" s="119"/>
      <x:c r="L245" s="119"/>
      <x:c r="M245" s="119"/>
      <x:c r="N245" s="119"/>
      <x:c r="O245" s="119"/>
      <x:c r="P245" s="119"/>
    </x:row>
    <x:row r="246">
      <x:c r="A246" s="119"/>
      <x:c r="B246" s="119"/>
      <x:c r="C246" s="119"/>
      <x:c r="D246" s="119"/>
      <x:c r="E246" s="119"/>
      <x:c r="F246" s="119"/>
      <x:c r="G246" s="119"/>
      <x:c r="H246" s="119"/>
      <x:c r="I246" s="119"/>
      <x:c r="J246" s="119"/>
      <x:c r="K246" s="119"/>
      <x:c r="L246" s="119"/>
      <x:c r="M246" s="119"/>
      <x:c r="N246" s="119"/>
      <x:c r="O246" s="119"/>
      <x:c r="P246" s="119"/>
    </x:row>
    <x:row r="247">
      <x:c r="A247" s="119"/>
      <x:c r="B247" s="119"/>
      <x:c r="C247" s="119"/>
      <x:c r="D247" s="119"/>
      <x:c r="E247" s="119"/>
      <x:c r="F247" s="119"/>
      <x:c r="G247" s="119"/>
      <x:c r="H247" s="119"/>
      <x:c r="I247" s="119"/>
      <x:c r="J247" s="119"/>
      <x:c r="K247" s="119"/>
      <x:c r="L247" s="119"/>
      <x:c r="M247" s="119"/>
      <x:c r="N247" s="119"/>
      <x:c r="O247" s="119"/>
      <x:c r="P247" s="119"/>
    </x:row>
    <x:row r="248">
      <x:c r="A248" s="119"/>
      <x:c r="B248" s="119"/>
      <x:c r="C248" s="119"/>
      <x:c r="D248" s="119"/>
      <x:c r="E248" s="119"/>
      <x:c r="F248" s="119"/>
      <x:c r="G248" s="119"/>
      <x:c r="H248" s="119"/>
      <x:c r="I248" s="119"/>
      <x:c r="J248" s="119"/>
      <x:c r="K248" s="119"/>
      <x:c r="L248" s="119"/>
      <x:c r="M248" s="119"/>
      <x:c r="N248" s="119"/>
      <x:c r="O248" s="119"/>
      <x:c r="P248" s="119"/>
    </x:row>
    <x:row r="249">
      <x:c r="A249" s="119"/>
      <x:c r="B249" s="119"/>
      <x:c r="C249" s="119"/>
      <x:c r="D249" s="119"/>
      <x:c r="E249" s="119"/>
      <x:c r="F249" s="119"/>
      <x:c r="G249" s="119"/>
      <x:c r="H249" s="119"/>
      <x:c r="I249" s="119"/>
      <x:c r="J249" s="119"/>
      <x:c r="K249" s="119"/>
      <x:c r="L249" s="119"/>
      <x:c r="M249" s="119"/>
      <x:c r="N249" s="119"/>
      <x:c r="O249" s="119"/>
      <x:c r="P249" s="119"/>
    </x:row>
    <x:row r="250">
      <x:c r="A250" s="119"/>
      <x:c r="B250" s="119"/>
      <x:c r="C250" s="119"/>
      <x:c r="D250" s="119"/>
      <x:c r="E250" s="119"/>
      <x:c r="F250" s="119"/>
      <x:c r="G250" s="119"/>
      <x:c r="H250" s="119"/>
      <x:c r="I250" s="119"/>
      <x:c r="J250" s="119"/>
      <x:c r="K250" s="119"/>
      <x:c r="L250" s="119"/>
      <x:c r="M250" s="119"/>
      <x:c r="N250" s="119"/>
      <x:c r="O250" s="119"/>
      <x:c r="P250" s="119"/>
    </x:row>
  </x:sheetData>
  <x:mergeCells>
    <x:mergeCell ref="A1:H2"/>
  </x:mergeCells>
  <x:conditionalFormatting sqref="E5:E10">
    <x:cfRule type="colorScale" priority="1">
      <x:colorScale>
        <x:cfvo type="min"/>
        <x:cfvo type="percentile" val="50"/>
        <x:cfvo type="max"/>
        <x:color rgb="FFF4CCCC"/>
        <x:color rgb="FFFFF2CC"/>
        <x:color rgb="FFD9EAD3"/>
      </x:colorScale>
    </x:cfRule>
  </x:conditionalFormatting>
  <x:pageMargins left="0.7" right="0.7" top="0.75" bottom="0.75" header="0.3" footer="0.3"/>
  <x:drawing xmlns:r="http://schemas.openxmlformats.org/officeDocument/2006/relationships" r:id="Rc57cefca139149d7"/>
</x:worksheet>
</file>

<file path=xl/worksheets/sheet6.xml><?xml version="1.0" encoding="utf-8"?>
<x:worksheet xmlns:x="http://schemas.openxmlformats.org/spreadsheetml/2006/main">
  <x:sheetFormatPr defaultRowHeight="15"/>
  <x:cols>
    <x:col min="1" max="1" width="10" hidden="0" customWidth="1"/>
    <x:col min="2" max="2" width="22" hidden="0" customWidth="1"/>
    <x:col min="3" max="3" width="43" hidden="0" customWidth="1"/>
    <x:col min="4" max="4" width="26" hidden="0" customWidth="1"/>
    <x:col min="5" max="5" width="16" hidden="0" customWidth="1"/>
    <x:col min="6" max="6" width="23" hidden="0" customWidth="1"/>
    <x:col min="7" max="7" width="58" hidden="0" customWidth="1"/>
  </x:cols>
  <x:sheetData>
    <x:row r="1">
      <x:c r="A1" s="11" t="str">
        <x:v>Evidence ID</x:v>
      </x:c>
      <x:c r="B1" s="11" t="str">
        <x:v>CSF Category</x:v>
      </x:c>
      <x:c r="C1" s="11" t="str">
        <x:v>Evidence / Artifact</x:v>
      </x:c>
      <x:c r="D1" s="11" t="str">
        <x:v>Owner</x:v>
      </x:c>
      <x:c r="E1" s="11" t="str">
        <x:v>Current Status</x:v>
      </x:c>
      <x:c r="F1" s="11" t="str">
        <x:v>Review Frequency</x:v>
      </x:c>
      <x:c r="G1" s="11" t="str">
        <x:v>Use / Assurance Purpose</x:v>
      </x:c>
      <x:c r="H1" s="119"/>
      <x:c r="I1" s="119"/>
      <x:c r="J1" s="119"/>
      <x:c r="K1" s="119"/>
      <x:c r="L1" s="119"/>
      <x:c r="M1" s="119"/>
      <x:c r="N1" s="119"/>
      <x:c r="O1" s="119"/>
      <x:c r="P1" s="119"/>
    </x:row>
    <x:row r="2">
      <x:c r="A2" s="20" t="str">
        <x:v>EV-01</x:v>
      </x:c>
      <x:c r="B2" s="20" t="str">
        <x:v>GV.RM</x:v>
      </x:c>
      <x:c r="C2" s="20" t="str">
        <x:v>Enterprise Cybersecurity Risk Register</x:v>
      </x:c>
      <x:c r="D2" s="20" t="str">
        <x:v>IT Manager</x:v>
      </x:c>
      <x:c r="E2" s="20" t="str">
        <x:v>Available</x:v>
      </x:c>
      <x:c r="F2" s="20" t="str">
        <x:v>Quarterly</x:v>
      </x:c>
      <x:c r="G2" s="20" t="str">
        <x:v>Shows risk criteria, owners, treatment decisions, inherent/residual exposure and appetite position.</x:v>
      </x:c>
      <x:c r="H2" s="119"/>
      <x:c r="I2" s="119"/>
      <x:c r="J2" s="119"/>
      <x:c r="K2" s="119"/>
      <x:c r="L2" s="119"/>
      <x:c r="M2" s="119"/>
      <x:c r="N2" s="119"/>
      <x:c r="O2" s="119"/>
      <x:c r="P2" s="119"/>
    </x:row>
    <x:row r="3">
      <x:c r="A3" s="20" t="str">
        <x:v>EV-02</x:v>
      </x:c>
      <x:c r="B3" s="20" t="str">
        <x:v>ID.AM</x:v>
      </x:c>
      <x:c r="C3" s="20" t="str">
        <x:v>Enterprise Asset Inventory</x:v>
      </x:c>
      <x:c r="D3" s="20" t="str">
        <x:v>IT Manager</x:v>
      </x:c>
      <x:c r="E3" s="20" t="str">
        <x:v>Available</x:v>
      </x:c>
      <x:c r="F3" s="20" t="str">
        <x:v>Quarterly</x:v>
      </x:c>
      <x:c r="G3" s="20" t="str">
        <x:v>Demonstrates assets, owners, business services, dependencies, RTO/RPO and crown jewels.</x:v>
      </x:c>
      <x:c r="H3" s="119"/>
      <x:c r="I3" s="119"/>
      <x:c r="J3" s="119"/>
      <x:c r="K3" s="119"/>
      <x:c r="L3" s="119"/>
      <x:c r="M3" s="119"/>
      <x:c r="N3" s="119"/>
      <x:c r="O3" s="119"/>
      <x:c r="P3" s="119"/>
    </x:row>
    <x:row r="4">
      <x:c r="A4" s="20" t="str">
        <x:v>EV-03</x:v>
      </x:c>
      <x:c r="B4" s="20" t="str">
        <x:v>ID.RA</x:v>
      </x:c>
      <x:c r="C4" s="20" t="str">
        <x:v>Threat &amp; Vulnerability Matrix</x:v>
      </x:c>
      <x:c r="D4" s="20" t="str">
        <x:v>IT Security Analyst</x:v>
      </x:c>
      <x:c r="E4" s="20" t="str">
        <x:v>Available</x:v>
      </x:c>
      <x:c r="F4" s="20" t="str">
        <x:v>Quarterly / material change</x:v>
      </x:c>
      <x:c r="G4" s="20" t="str">
        <x:v>Documents realistic threats, vulnerabilities, attack paths and affected assets.</x:v>
      </x:c>
      <x:c r="H4" s="119"/>
      <x:c r="I4" s="119"/>
      <x:c r="J4" s="119"/>
      <x:c r="K4" s="119"/>
      <x:c r="L4" s="119"/>
      <x:c r="M4" s="119"/>
      <x:c r="N4" s="119"/>
      <x:c r="O4" s="119"/>
      <x:c r="P4" s="119"/>
    </x:row>
    <x:row r="5">
      <x:c r="A5" s="20" t="str">
        <x:v>EV-04</x:v>
      </x:c>
      <x:c r="B5" s="20" t="str">
        <x:v>GV.OV</x:v>
      </x:c>
      <x:c r="C5" s="20" t="str">
        <x:v>Executive Risk Dashboard</x:v>
      </x:c>
      <x:c r="D5" s="20" t="str">
        <x:v>COO / IT Manager</x:v>
      </x:c>
      <x:c r="E5" s="20" t="str">
        <x:v>Available</x:v>
      </x:c>
      <x:c r="F5" s="20" t="str">
        <x:v>Quarterly</x:v>
      </x:c>
      <x:c r="G5" s="20" t="str">
        <x:v>Management reporting for risk distribution, movement, ownership and remediation.</x:v>
      </x:c>
      <x:c r="H5" s="119"/>
      <x:c r="I5" s="119"/>
      <x:c r="J5" s="119"/>
      <x:c r="K5" s="119"/>
      <x:c r="L5" s="119"/>
      <x:c r="M5" s="119"/>
      <x:c r="N5" s="119"/>
      <x:c r="O5" s="119"/>
      <x:c r="P5" s="119"/>
    </x:row>
    <x:row r="6">
      <x:c r="A6" s="20" t="str">
        <x:v>EV-05</x:v>
      </x:c>
      <x:c r="B6" s="20" t="str">
        <x:v>PR.AA</x:v>
      </x:c>
      <x:c r="C6" s="20" t="str">
        <x:v>MFA / Conditional Access Configuration Export</x:v>
      </x:c>
      <x:c r="D6" s="20" t="str">
        <x:v>Systems Administrator</x:v>
      </x:c>
      <x:c r="E6" s="20" t="str">
        <x:v>Planned</x:v>
      </x:c>
      <x:c r="F6" s="20" t="str">
        <x:v>Quarterly</x:v>
      </x:c>
      <x:c r="G6" s="20" t="str">
        <x:v>Evidence that all users, privileged accounts and VPN identities meet authentication requirements.</x:v>
      </x:c>
      <x:c r="H6" s="119"/>
      <x:c r="I6" s="119"/>
      <x:c r="J6" s="119"/>
      <x:c r="K6" s="119"/>
      <x:c r="L6" s="119"/>
      <x:c r="M6" s="119"/>
      <x:c r="N6" s="119"/>
      <x:c r="O6" s="119"/>
      <x:c r="P6" s="119"/>
    </x:row>
    <x:row r="7">
      <x:c r="A7" s="20" t="str">
        <x:v>EV-06</x:v>
      </x:c>
      <x:c r="B7" s="20" t="str">
        <x:v>PR.AA</x:v>
      </x:c>
      <x:c r="C7" s="20" t="str">
        <x:v>Privileged Access Review</x:v>
      </x:c>
      <x:c r="D7" s="20" t="str">
        <x:v>IT Manager</x:v>
      </x:c>
      <x:c r="E7" s="20" t="str">
        <x:v>Planned</x:v>
      </x:c>
      <x:c r="F7" s="20" t="str">
        <x:v>Quarterly</x:v>
      </x:c>
      <x:c r="G7" s="20" t="str">
        <x:v>Evidence of administrator inventory, authorization, role review and removal of stale privilege.</x:v>
      </x:c>
      <x:c r="H7" s="119"/>
      <x:c r="I7" s="119"/>
      <x:c r="J7" s="119"/>
      <x:c r="K7" s="119"/>
      <x:c r="L7" s="119"/>
      <x:c r="M7" s="119"/>
      <x:c r="N7" s="119"/>
      <x:c r="O7" s="119"/>
      <x:c r="P7" s="119"/>
    </x:row>
    <x:row r="8">
      <x:c r="A8" s="20" t="str">
        <x:v>EV-07</x:v>
      </x:c>
      <x:c r="B8" s="20" t="str">
        <x:v>PR.PS</x:v>
      </x:c>
      <x:c r="C8" s="20" t="str">
        <x:v>Patch &amp; Vulnerability Compliance Report</x:v>
      </x:c>
      <x:c r="D8" s="20" t="str">
        <x:v>IT Support / Security</x:v>
      </x:c>
      <x:c r="E8" s="20" t="str">
        <x:v>Planned</x:v>
      </x:c>
      <x:c r="F8" s="20" t="str">
        <x:v>Monthly</x:v>
      </x:c>
      <x:c r="G8" s="20" t="str">
        <x:v>Shows patch SLA compliance, critical vulnerabilities and approved exceptions.</x:v>
      </x:c>
      <x:c r="H8" s="119"/>
      <x:c r="I8" s="119"/>
      <x:c r="J8" s="119"/>
      <x:c r="K8" s="119"/>
      <x:c r="L8" s="119"/>
      <x:c r="M8" s="119"/>
      <x:c r="N8" s="119"/>
      <x:c r="O8" s="119"/>
      <x:c r="P8" s="119"/>
    </x:row>
    <x:row r="9">
      <x:c r="A9" s="20" t="str">
        <x:v>EV-08</x:v>
      </x:c>
      <x:c r="B9" s="20" t="str">
        <x:v>PR.IR / RC.RP</x:v>
      </x:c>
      <x:c r="C9" s="20" t="str">
        <x:v>Backup Restore Test Results</x:v>
      </x:c>
      <x:c r="D9" s="20" t="str">
        <x:v>Systems Administrator</x:v>
      </x:c>
      <x:c r="E9" s="20" t="str">
        <x:v>Partial</x:v>
      </x:c>
      <x:c r="F9" s="20" t="str">
        <x:v>Quarterly</x:v>
      </x:c>
      <x:c r="G9" s="20" t="str">
        <x:v>Demonstrates backup integrity, recovery procedure, RTO/RPO and restore success.</x:v>
      </x:c>
      <x:c r="H9" s="119"/>
      <x:c r="I9" s="119"/>
      <x:c r="J9" s="119"/>
      <x:c r="K9" s="119"/>
      <x:c r="L9" s="119"/>
      <x:c r="M9" s="119"/>
      <x:c r="N9" s="119"/>
      <x:c r="O9" s="119"/>
      <x:c r="P9" s="119"/>
    </x:row>
    <x:row r="10">
      <x:c r="A10" s="20" t="str">
        <x:v>EV-09</x:v>
      </x:c>
      <x:c r="B10" s="20" t="str">
        <x:v>DE.CM / DE.AE</x:v>
      </x:c>
      <x:c r="C10" s="20" t="str">
        <x:v>Security Logging Coverage &amp; Alert Matrix</x:v>
      </x:c>
      <x:c r="D10" s="20" t="str">
        <x:v>IT Security Analyst</x:v>
      </x:c>
      <x:c r="E10" s="20" t="str">
        <x:v>Planned</x:v>
      </x:c>
      <x:c r="F10" s="20" t="str">
        <x:v>Quarterly</x:v>
      </x:c>
      <x:c r="G10" s="20" t="str">
        <x:v>Shows required log sources, retention, detections, severity and alert ownership.</x:v>
      </x:c>
      <x:c r="H10" s="119"/>
      <x:c r="I10" s="119"/>
      <x:c r="J10" s="119"/>
      <x:c r="K10" s="119"/>
      <x:c r="L10" s="119"/>
      <x:c r="M10" s="119"/>
      <x:c r="N10" s="119"/>
      <x:c r="O10" s="119"/>
      <x:c r="P10" s="119"/>
    </x:row>
    <x:row r="11">
      <x:c r="A11" s="20" t="str">
        <x:v>EV-10</x:v>
      </x:c>
      <x:c r="B11" s="20" t="str">
        <x:v>GV.SC</x:v>
      </x:c>
      <x:c r="C11" s="20" t="str">
        <x:v>Critical Vendor Assurance Pack</x:v>
      </x:c>
      <x:c r="D11" s="20" t="str">
        <x:v>Procurement / IT</x:v>
      </x:c>
      <x:c r="E11" s="20" t="str">
        <x:v>Planned</x:v>
      </x:c>
      <x:c r="F11" s="20" t="str">
        <x:v>Annual</x:v>
      </x:c>
      <x:c r="G11" s="20" t="str">
        <x:v>Contains vendor inventory, assurance reports, contract security clauses, access reviews and exit plans.</x:v>
      </x:c>
      <x:c r="H11" s="119"/>
      <x:c r="I11" s="119"/>
      <x:c r="J11" s="119"/>
      <x:c r="K11" s="119"/>
      <x:c r="L11" s="119"/>
      <x:c r="M11" s="119"/>
      <x:c r="N11" s="119"/>
      <x:c r="O11" s="119"/>
      <x:c r="P11" s="119"/>
    </x:row>
    <x:row r="12">
      <x:c r="A12" s="20" t="str">
        <x:v>EV-11</x:v>
      </x:c>
      <x:c r="B12" s="20" t="str">
        <x:v>RS.MA / RS.AN / RS.MI</x:v>
      </x:c>
      <x:c r="C12" s="20" t="str">
        <x:v>Incident Response Plan &amp; Playbooks</x:v>
      </x:c>
      <x:c r="D12" s="20" t="str">
        <x:v>IT Manager</x:v>
      </x:c>
      <x:c r="E12" s="20" t="str">
        <x:v>Planned</x:v>
      </x:c>
      <x:c r="F12" s="20" t="str">
        <x:v>Annual / post-incident</x:v>
      </x:c>
      <x:c r="G12" s="20" t="str">
        <x:v>Shows incident roles, analysis, containment, escalation and lessons learned.</x:v>
      </x:c>
      <x:c r="H12" s="119"/>
      <x:c r="I12" s="119"/>
      <x:c r="J12" s="119"/>
      <x:c r="K12" s="119"/>
      <x:c r="L12" s="119"/>
      <x:c r="M12" s="119"/>
      <x:c r="N12" s="119"/>
      <x:c r="O12" s="119"/>
      <x:c r="P12" s="119"/>
    </x:row>
    <x:row r="13">
      <x:c r="A13" s="20" t="str">
        <x:v>EV-12</x:v>
      </x:c>
      <x:c r="B13" s="20" t="str">
        <x:v>PR.DS</x:v>
      </x:c>
      <x:c r="C13" s="20" t="str">
        <x:v>DLP / External Sharing Review</x:v>
      </x:c>
      <x:c r="D13" s="20" t="str">
        <x:v>IT Security / Data Owners</x:v>
      </x:c>
      <x:c r="E13" s="20" t="str">
        <x:v>Planned</x:v>
      </x:c>
      <x:c r="F13" s="20" t="str">
        <x:v>Quarterly</x:v>
      </x:c>
      <x:c r="G13" s="20" t="str">
        <x:v>Evidence of sensitive-data controls, external sharing and bulk export governance.</x:v>
      </x:c>
      <x:c r="H13" s="119"/>
      <x:c r="I13" s="119"/>
      <x:c r="J13" s="119"/>
      <x:c r="K13" s="119"/>
      <x:c r="L13" s="119"/>
      <x:c r="M13" s="119"/>
      <x:c r="N13" s="119"/>
      <x:c r="O13" s="119"/>
      <x:c r="P13" s="119"/>
    </x:row>
    <x:row r="14">
      <x:c r="A14" s="20" t="str">
        <x:v>EV-13</x:v>
      </x:c>
      <x:c r="B14" s="20" t="str">
        <x:v>GV.PO</x:v>
      </x:c>
      <x:c r="C14" s="20" t="str">
        <x:v>Approved Cybersecurity Policy Suite</x:v>
      </x:c>
      <x:c r="D14" s="20" t="str">
        <x:v>IT Manager / HR</x:v>
      </x:c>
      <x:c r="E14" s="20" t="str">
        <x:v>Missing</x:v>
      </x:c>
      <x:c r="F14" s="20" t="str">
        <x:v>Annual</x:v>
      </x:c>
      <x:c r="G14" s="20" t="str">
        <x:v>Provides formal management-approved requirements for repeatable cybersecurity practices.</x:v>
      </x:c>
      <x:c r="H14" s="119"/>
      <x:c r="I14" s="119"/>
      <x:c r="J14" s="119"/>
      <x:c r="K14" s="119"/>
      <x:c r="L14" s="119"/>
      <x:c r="M14" s="119"/>
      <x:c r="N14" s="119"/>
      <x:c r="O14" s="119"/>
      <x:c r="P14" s="119"/>
    </x:row>
    <x:row r="15">
      <x:c r="A15" s="20" t="str">
        <x:v>EV-14</x:v>
      </x:c>
      <x:c r="B15" s="20" t="str">
        <x:v>PR.AT</x:v>
      </x:c>
      <x:c r="C15" s="20" t="str">
        <x:v>Awareness &amp; Phishing Metrics</x:v>
      </x:c>
      <x:c r="D15" s="20" t="str">
        <x:v>HR / IT Security</x:v>
      </x:c>
      <x:c r="E15" s="20" t="str">
        <x:v>Missing</x:v>
      </x:c>
      <x:c r="F15" s="20" t="str">
        <x:v>Quarterly</x:v>
      </x:c>
      <x:c r="G15" s="20" t="str">
        <x:v>Measures training completion, phishing susceptibility and role-specific awareness.</x:v>
      </x:c>
      <x:c r="H15" s="119"/>
      <x:c r="I15" s="119"/>
      <x:c r="J15" s="119"/>
      <x:c r="K15" s="119"/>
      <x:c r="L15" s="119"/>
      <x:c r="M15" s="119"/>
      <x:c r="N15" s="119"/>
      <x:c r="O15" s="119"/>
      <x:c r="P15" s="119"/>
    </x:row>
    <x:row r="16">
      <x:c r="A16" s="20" t="str">
        <x:v>EV-15</x:v>
      </x:c>
      <x:c r="B16" s="20" t="str">
        <x:v>RC.CO / RS.CO</x:v>
      </x:c>
      <x:c r="C16" s="20" t="str">
        <x:v>Incident &amp; Recovery Communication Matrix</x:v>
      </x:c>
      <x:c r="D16" s="20" t="str">
        <x:v>COO</x:v>
      </x:c>
      <x:c r="E16" s="20" t="str">
        <x:v>Missing</x:v>
      </x:c>
      <x:c r="F16" s="20" t="str">
        <x:v>Annual / exercise</x:v>
      </x:c>
      <x:c r="G16" s="20" t="str">
        <x:v>Shows stakeholder contacts, communication responsibilities, templates and recovery updates.</x:v>
      </x:c>
      <x:c r="H16" s="119"/>
      <x:c r="I16" s="119"/>
      <x:c r="J16" s="119"/>
      <x:c r="K16" s="119"/>
      <x:c r="L16" s="119"/>
      <x:c r="M16" s="119"/>
      <x:c r="N16" s="119"/>
      <x:c r="O16" s="119"/>
      <x:c r="P16" s="119"/>
    </x:row>
    <x:row r="17">
      <x:c r="A17" s="119"/>
      <x:c r="B17" s="119"/>
      <x:c r="C17" s="119"/>
      <x:c r="D17" s="119"/>
      <x:c r="E17" s="119"/>
      <x:c r="F17" s="119"/>
      <x:c r="G17" s="119"/>
      <x:c r="H17" s="119"/>
      <x:c r="I17" s="119"/>
      <x:c r="J17" s="119"/>
      <x:c r="K17" s="119"/>
      <x:c r="L17" s="119"/>
      <x:c r="M17" s="119"/>
      <x:c r="N17" s="119"/>
      <x:c r="O17" s="119"/>
      <x:c r="P17" s="119"/>
    </x:row>
    <x:row r="18">
      <x:c r="A18" s="119"/>
      <x:c r="B18" s="119"/>
      <x:c r="C18" s="119"/>
      <x:c r="D18" s="119"/>
      <x:c r="E18" s="119"/>
      <x:c r="F18" s="119"/>
      <x:c r="G18" s="119"/>
      <x:c r="H18" s="119"/>
      <x:c r="I18" s="119"/>
      <x:c r="J18" s="119"/>
      <x:c r="K18" s="119"/>
      <x:c r="L18" s="119"/>
      <x:c r="M18" s="119"/>
      <x:c r="N18" s="119"/>
      <x:c r="O18" s="119"/>
      <x:c r="P18" s="119"/>
    </x:row>
    <x:row r="19">
      <x:c r="A19" s="119"/>
      <x:c r="B19" s="119"/>
      <x:c r="C19" s="119"/>
      <x:c r="D19" s="119"/>
      <x:c r="E19" s="119"/>
      <x:c r="F19" s="119"/>
      <x:c r="G19" s="119"/>
      <x:c r="H19" s="119"/>
      <x:c r="I19" s="119"/>
      <x:c r="J19" s="119"/>
      <x:c r="K19" s="119"/>
      <x:c r="L19" s="119"/>
      <x:c r="M19" s="119"/>
      <x:c r="N19" s="119"/>
      <x:c r="O19" s="119"/>
      <x:c r="P19" s="119"/>
    </x:row>
    <x:row r="20">
      <x:c r="A20" s="119"/>
      <x:c r="B20" s="119"/>
      <x:c r="C20" s="119"/>
      <x:c r="D20" s="119"/>
      <x:c r="E20" s="119"/>
      <x:c r="F20" s="119"/>
      <x:c r="G20" s="119"/>
      <x:c r="H20" s="119"/>
      <x:c r="I20" s="119"/>
      <x:c r="J20" s="119"/>
      <x:c r="K20" s="119"/>
      <x:c r="L20" s="119"/>
      <x:c r="M20" s="119"/>
      <x:c r="N20" s="119"/>
      <x:c r="O20" s="119"/>
      <x:c r="P20" s="119"/>
    </x:row>
    <x:row r="21">
      <x:c r="A21" s="119"/>
      <x:c r="B21" s="119"/>
      <x:c r="C21" s="119"/>
      <x:c r="D21" s="119"/>
      <x:c r="E21" s="119"/>
      <x:c r="F21" s="119"/>
      <x:c r="G21" s="119"/>
      <x:c r="H21" s="119"/>
      <x:c r="I21" s="119"/>
      <x:c r="J21" s="119"/>
      <x:c r="K21" s="119"/>
      <x:c r="L21" s="119"/>
      <x:c r="M21" s="119"/>
      <x:c r="N21" s="119"/>
      <x:c r="O21" s="119"/>
      <x:c r="P21" s="119"/>
    </x:row>
    <x:row r="22">
      <x:c r="A22" s="119"/>
      <x:c r="B22" s="119"/>
      <x:c r="C22" s="119"/>
      <x:c r="D22" s="119"/>
      <x:c r="E22" s="119"/>
      <x:c r="F22" s="119"/>
      <x:c r="G22" s="119"/>
      <x:c r="H22" s="119"/>
      <x:c r="I22" s="119"/>
      <x:c r="J22" s="119"/>
      <x:c r="K22" s="119"/>
      <x:c r="L22" s="119"/>
      <x:c r="M22" s="119"/>
      <x:c r="N22" s="119"/>
      <x:c r="O22" s="119"/>
      <x:c r="P22" s="119"/>
    </x:row>
    <x:row r="23">
      <x:c r="A23" s="119"/>
      <x:c r="B23" s="119"/>
      <x:c r="C23" s="119"/>
      <x:c r="D23" s="119"/>
      <x:c r="E23" s="119"/>
      <x:c r="F23" s="119"/>
      <x:c r="G23" s="119"/>
      <x:c r="H23" s="119"/>
      <x:c r="I23" s="119"/>
      <x:c r="J23" s="119"/>
      <x:c r="K23" s="119"/>
      <x:c r="L23" s="119"/>
      <x:c r="M23" s="119"/>
      <x:c r="N23" s="119"/>
      <x:c r="O23" s="119"/>
      <x:c r="P23" s="119"/>
    </x:row>
    <x:row r="24">
      <x:c r="A24" s="119"/>
      <x:c r="B24" s="119"/>
      <x:c r="C24" s="119"/>
      <x:c r="D24" s="119"/>
      <x:c r="E24" s="119"/>
      <x:c r="F24" s="119"/>
      <x:c r="G24" s="119"/>
      <x:c r="H24" s="119"/>
      <x:c r="I24" s="119"/>
      <x:c r="J24" s="119"/>
      <x:c r="K24" s="119"/>
      <x:c r="L24" s="119"/>
      <x:c r="M24" s="119"/>
      <x:c r="N24" s="119"/>
      <x:c r="O24" s="119"/>
      <x:c r="P24" s="119"/>
    </x:row>
    <x:row r="25">
      <x:c r="A25" s="119"/>
      <x:c r="B25" s="119"/>
      <x:c r="C25" s="119"/>
      <x:c r="D25" s="119"/>
      <x:c r="E25" s="119"/>
      <x:c r="F25" s="119"/>
      <x:c r="G25" s="119"/>
      <x:c r="H25" s="119"/>
      <x:c r="I25" s="119"/>
      <x:c r="J25" s="119"/>
      <x:c r="K25" s="119"/>
      <x:c r="L25" s="119"/>
      <x:c r="M25" s="119"/>
      <x:c r="N25" s="119"/>
      <x:c r="O25" s="119"/>
      <x:c r="P25" s="119"/>
    </x:row>
    <x:row r="26">
      <x:c r="A26" s="119"/>
      <x:c r="B26" s="119"/>
      <x:c r="C26" s="119"/>
      <x:c r="D26" s="119"/>
      <x:c r="E26" s="119"/>
      <x:c r="F26" s="119"/>
      <x:c r="G26" s="119"/>
      <x:c r="H26" s="119"/>
      <x:c r="I26" s="119"/>
      <x:c r="J26" s="119"/>
      <x:c r="K26" s="119"/>
      <x:c r="L26" s="119"/>
      <x:c r="M26" s="119"/>
      <x:c r="N26" s="119"/>
      <x:c r="O26" s="119"/>
      <x:c r="P26" s="119"/>
    </x:row>
    <x:row r="27">
      <x:c r="A27" s="119"/>
      <x:c r="B27" s="119"/>
      <x:c r="C27" s="119"/>
      <x:c r="D27" s="119"/>
      <x:c r="E27" s="119"/>
      <x:c r="F27" s="119"/>
      <x:c r="G27" s="119"/>
      <x:c r="H27" s="119"/>
      <x:c r="I27" s="119"/>
      <x:c r="J27" s="119"/>
      <x:c r="K27" s="119"/>
      <x:c r="L27" s="119"/>
      <x:c r="M27" s="119"/>
      <x:c r="N27" s="119"/>
      <x:c r="O27" s="119"/>
      <x:c r="P27" s="119"/>
    </x:row>
    <x:row r="28">
      <x:c r="A28" s="119"/>
      <x:c r="B28" s="119"/>
      <x:c r="C28" s="119"/>
      <x:c r="D28" s="119"/>
      <x:c r="E28" s="119"/>
      <x:c r="F28" s="119"/>
      <x:c r="G28" s="119"/>
      <x:c r="H28" s="119"/>
      <x:c r="I28" s="119"/>
      <x:c r="J28" s="119"/>
      <x:c r="K28" s="119"/>
      <x:c r="L28" s="119"/>
      <x:c r="M28" s="119"/>
      <x:c r="N28" s="119"/>
      <x:c r="O28" s="119"/>
      <x:c r="P28" s="119"/>
    </x:row>
    <x:row r="29">
      <x:c r="A29" s="119"/>
      <x:c r="B29" s="119"/>
      <x:c r="C29" s="119"/>
      <x:c r="D29" s="119"/>
      <x:c r="E29" s="119"/>
      <x:c r="F29" s="119"/>
      <x:c r="G29" s="119"/>
      <x:c r="H29" s="119"/>
      <x:c r="I29" s="119"/>
      <x:c r="J29" s="119"/>
      <x:c r="K29" s="119"/>
      <x:c r="L29" s="119"/>
      <x:c r="M29" s="119"/>
      <x:c r="N29" s="119"/>
      <x:c r="O29" s="119"/>
      <x:c r="P29" s="119"/>
    </x:row>
    <x:row r="30">
      <x:c r="A30" s="119"/>
      <x:c r="B30" s="119"/>
      <x:c r="C30" s="119"/>
      <x:c r="D30" s="119"/>
      <x:c r="E30" s="119"/>
      <x:c r="F30" s="119"/>
      <x:c r="G30" s="119"/>
      <x:c r="H30" s="119"/>
      <x:c r="I30" s="119"/>
      <x:c r="J30" s="119"/>
      <x:c r="K30" s="119"/>
      <x:c r="L30" s="119"/>
      <x:c r="M30" s="119"/>
      <x:c r="N30" s="119"/>
      <x:c r="O30" s="119"/>
      <x:c r="P30" s="119"/>
    </x:row>
    <x:row r="31">
      <x:c r="A31" s="119"/>
      <x:c r="B31" s="119"/>
      <x:c r="C31" s="119"/>
      <x:c r="D31" s="119"/>
      <x:c r="E31" s="119"/>
      <x:c r="F31" s="119"/>
      <x:c r="G31" s="119"/>
      <x:c r="H31" s="119"/>
      <x:c r="I31" s="119"/>
      <x:c r="J31" s="119"/>
      <x:c r="K31" s="119"/>
      <x:c r="L31" s="119"/>
      <x:c r="M31" s="119"/>
      <x:c r="N31" s="119"/>
      <x:c r="O31" s="119"/>
      <x:c r="P31" s="119"/>
    </x:row>
    <x:row r="32">
      <x:c r="A32" s="119"/>
      <x:c r="B32" s="119"/>
      <x:c r="C32" s="119"/>
      <x:c r="D32" s="119"/>
      <x:c r="E32" s="119"/>
      <x:c r="F32" s="119"/>
      <x:c r="G32" s="119"/>
      <x:c r="H32" s="119"/>
      <x:c r="I32" s="119"/>
      <x:c r="J32" s="119"/>
      <x:c r="K32" s="119"/>
      <x:c r="L32" s="119"/>
      <x:c r="M32" s="119"/>
      <x:c r="N32" s="119"/>
      <x:c r="O32" s="119"/>
      <x:c r="P32" s="119"/>
    </x:row>
    <x:row r="33">
      <x:c r="A33" s="119"/>
      <x:c r="B33" s="119"/>
      <x:c r="C33" s="119"/>
      <x:c r="D33" s="119"/>
      <x:c r="E33" s="119"/>
      <x:c r="F33" s="119"/>
      <x:c r="G33" s="119"/>
      <x:c r="H33" s="119"/>
      <x:c r="I33" s="119"/>
      <x:c r="J33" s="119"/>
      <x:c r="K33" s="119"/>
      <x:c r="L33" s="119"/>
      <x:c r="M33" s="119"/>
      <x:c r="N33" s="119"/>
      <x:c r="O33" s="119"/>
      <x:c r="P33" s="119"/>
    </x:row>
    <x:row r="34">
      <x:c r="A34" s="119"/>
      <x:c r="B34" s="119"/>
      <x:c r="C34" s="119"/>
      <x:c r="D34" s="119"/>
      <x:c r="E34" s="119"/>
      <x:c r="F34" s="119"/>
      <x:c r="G34" s="119"/>
      <x:c r="H34" s="119"/>
      <x:c r="I34" s="119"/>
      <x:c r="J34" s="119"/>
      <x:c r="K34" s="119"/>
      <x:c r="L34" s="119"/>
      <x:c r="M34" s="119"/>
      <x:c r="N34" s="119"/>
      <x:c r="O34" s="119"/>
      <x:c r="P34" s="119"/>
    </x:row>
    <x:row r="35">
      <x:c r="A35" s="119"/>
      <x:c r="B35" s="119"/>
      <x:c r="C35" s="119"/>
      <x:c r="D35" s="119"/>
      <x:c r="E35" s="119"/>
      <x:c r="F35" s="119"/>
      <x:c r="G35" s="119"/>
      <x:c r="H35" s="119"/>
      <x:c r="I35" s="119"/>
      <x:c r="J35" s="119"/>
      <x:c r="K35" s="119"/>
      <x:c r="L35" s="119"/>
      <x:c r="M35" s="119"/>
      <x:c r="N35" s="119"/>
      <x:c r="O35" s="119"/>
      <x:c r="P35" s="119"/>
    </x:row>
    <x:row r="36">
      <x:c r="A36" s="119"/>
      <x:c r="B36" s="119"/>
      <x:c r="C36" s="119"/>
      <x:c r="D36" s="119"/>
      <x:c r="E36" s="119"/>
      <x:c r="F36" s="119"/>
      <x:c r="G36" s="119"/>
      <x:c r="H36" s="119"/>
      <x:c r="I36" s="119"/>
      <x:c r="J36" s="119"/>
      <x:c r="K36" s="119"/>
      <x:c r="L36" s="119"/>
      <x:c r="M36" s="119"/>
      <x:c r="N36" s="119"/>
      <x:c r="O36" s="119"/>
      <x:c r="P36" s="119"/>
    </x:row>
    <x:row r="37">
      <x:c r="A37" s="119"/>
      <x:c r="B37" s="119"/>
      <x:c r="C37" s="119"/>
      <x:c r="D37" s="119"/>
      <x:c r="E37" s="119"/>
      <x:c r="F37" s="119"/>
      <x:c r="G37" s="119"/>
      <x:c r="H37" s="119"/>
      <x:c r="I37" s="119"/>
      <x:c r="J37" s="119"/>
      <x:c r="K37" s="119"/>
      <x:c r="L37" s="119"/>
      <x:c r="M37" s="119"/>
      <x:c r="N37" s="119"/>
      <x:c r="O37" s="119"/>
      <x:c r="P37" s="119"/>
    </x:row>
    <x:row r="38">
      <x:c r="A38" s="119"/>
      <x:c r="B38" s="119"/>
      <x:c r="C38" s="119"/>
      <x:c r="D38" s="119"/>
      <x:c r="E38" s="119"/>
      <x:c r="F38" s="119"/>
      <x:c r="G38" s="119"/>
      <x:c r="H38" s="119"/>
      <x:c r="I38" s="119"/>
      <x:c r="J38" s="119"/>
      <x:c r="K38" s="119"/>
      <x:c r="L38" s="119"/>
      <x:c r="M38" s="119"/>
      <x:c r="N38" s="119"/>
      <x:c r="O38" s="119"/>
      <x:c r="P38" s="119"/>
    </x:row>
    <x:row r="39">
      <x:c r="A39" s="119"/>
      <x:c r="B39" s="119"/>
      <x:c r="C39" s="119"/>
      <x:c r="D39" s="119"/>
      <x:c r="E39" s="119"/>
      <x:c r="F39" s="119"/>
      <x:c r="G39" s="119"/>
      <x:c r="H39" s="119"/>
      <x:c r="I39" s="119"/>
      <x:c r="J39" s="119"/>
      <x:c r="K39" s="119"/>
      <x:c r="L39" s="119"/>
      <x:c r="M39" s="119"/>
      <x:c r="N39" s="119"/>
      <x:c r="O39" s="119"/>
      <x:c r="P39" s="119"/>
    </x:row>
    <x:row r="40">
      <x:c r="A40" s="119"/>
      <x:c r="B40" s="119"/>
      <x:c r="C40" s="119"/>
      <x:c r="D40" s="119"/>
      <x:c r="E40" s="119"/>
      <x:c r="F40" s="119"/>
      <x:c r="G40" s="119"/>
      <x:c r="H40" s="119"/>
      <x:c r="I40" s="119"/>
      <x:c r="J40" s="119"/>
      <x:c r="K40" s="119"/>
      <x:c r="L40" s="119"/>
      <x:c r="M40" s="119"/>
      <x:c r="N40" s="119"/>
      <x:c r="O40" s="119"/>
      <x:c r="P40" s="119"/>
    </x:row>
    <x:row r="41">
      <x:c r="A41" s="119"/>
      <x:c r="B41" s="119"/>
      <x:c r="C41" s="119"/>
      <x:c r="D41" s="119"/>
      <x:c r="E41" s="119"/>
      <x:c r="F41" s="119"/>
      <x:c r="G41" s="119"/>
      <x:c r="H41" s="119"/>
      <x:c r="I41" s="119"/>
      <x:c r="J41" s="119"/>
      <x:c r="K41" s="119"/>
      <x:c r="L41" s="119"/>
      <x:c r="M41" s="119"/>
      <x:c r="N41" s="119"/>
      <x:c r="O41" s="119"/>
      <x:c r="P41" s="119"/>
    </x:row>
    <x:row r="42">
      <x:c r="A42" s="119"/>
      <x:c r="B42" s="119"/>
      <x:c r="C42" s="119"/>
      <x:c r="D42" s="119"/>
      <x:c r="E42" s="119"/>
      <x:c r="F42" s="119"/>
      <x:c r="G42" s="119"/>
      <x:c r="H42" s="119"/>
      <x:c r="I42" s="119"/>
      <x:c r="J42" s="119"/>
      <x:c r="K42" s="119"/>
      <x:c r="L42" s="119"/>
      <x:c r="M42" s="119"/>
      <x:c r="N42" s="119"/>
      <x:c r="O42" s="119"/>
      <x:c r="P42" s="119"/>
    </x:row>
    <x:row r="43">
      <x:c r="A43" s="119"/>
      <x:c r="B43" s="119"/>
      <x:c r="C43" s="119"/>
      <x:c r="D43" s="119"/>
      <x:c r="E43" s="119"/>
      <x:c r="F43" s="119"/>
      <x:c r="G43" s="119"/>
      <x:c r="H43" s="119"/>
      <x:c r="I43" s="119"/>
      <x:c r="J43" s="119"/>
      <x:c r="K43" s="119"/>
      <x:c r="L43" s="119"/>
      <x:c r="M43" s="119"/>
      <x:c r="N43" s="119"/>
      <x:c r="O43" s="119"/>
      <x:c r="P43" s="119"/>
    </x:row>
    <x:row r="44">
      <x:c r="A44" s="119"/>
      <x:c r="B44" s="119"/>
      <x:c r="C44" s="119"/>
      <x:c r="D44" s="119"/>
      <x:c r="E44" s="119"/>
      <x:c r="F44" s="119"/>
      <x:c r="G44" s="119"/>
      <x:c r="H44" s="119"/>
      <x:c r="I44" s="119"/>
      <x:c r="J44" s="119"/>
      <x:c r="K44" s="119"/>
      <x:c r="L44" s="119"/>
      <x:c r="M44" s="119"/>
      <x:c r="N44" s="119"/>
      <x:c r="O44" s="119"/>
      <x:c r="P44" s="119"/>
    </x:row>
    <x:row r="45">
      <x:c r="A45" s="119"/>
      <x:c r="B45" s="119"/>
      <x:c r="C45" s="119"/>
      <x:c r="D45" s="119"/>
      <x:c r="E45" s="119"/>
      <x:c r="F45" s="119"/>
      <x:c r="G45" s="119"/>
      <x:c r="H45" s="119"/>
      <x:c r="I45" s="119"/>
      <x:c r="J45" s="119"/>
      <x:c r="K45" s="119"/>
      <x:c r="L45" s="119"/>
      <x:c r="M45" s="119"/>
      <x:c r="N45" s="119"/>
      <x:c r="O45" s="119"/>
      <x:c r="P45" s="119"/>
    </x:row>
    <x:row r="46">
      <x:c r="A46" s="119"/>
      <x:c r="B46" s="119"/>
      <x:c r="C46" s="119"/>
      <x:c r="D46" s="119"/>
      <x:c r="E46" s="119"/>
      <x:c r="F46" s="119"/>
      <x:c r="G46" s="119"/>
      <x:c r="H46" s="119"/>
      <x:c r="I46" s="119"/>
      <x:c r="J46" s="119"/>
      <x:c r="K46" s="119"/>
      <x:c r="L46" s="119"/>
      <x:c r="M46" s="119"/>
      <x:c r="N46" s="119"/>
      <x:c r="O46" s="119"/>
      <x:c r="P46" s="119"/>
    </x:row>
    <x:row r="47">
      <x:c r="A47" s="119"/>
      <x:c r="B47" s="119"/>
      <x:c r="C47" s="119"/>
      <x:c r="D47" s="119"/>
      <x:c r="E47" s="119"/>
      <x:c r="F47" s="119"/>
      <x:c r="G47" s="119"/>
      <x:c r="H47" s="119"/>
      <x:c r="I47" s="119"/>
      <x:c r="J47" s="119"/>
      <x:c r="K47" s="119"/>
      <x:c r="L47" s="119"/>
      <x:c r="M47" s="119"/>
      <x:c r="N47" s="119"/>
      <x:c r="O47" s="119"/>
      <x:c r="P47" s="119"/>
    </x:row>
    <x:row r="48">
      <x:c r="A48" s="119"/>
      <x:c r="B48" s="119"/>
      <x:c r="C48" s="119"/>
      <x:c r="D48" s="119"/>
      <x:c r="E48" s="119"/>
      <x:c r="F48" s="119"/>
      <x:c r="G48" s="119"/>
      <x:c r="H48" s="119"/>
      <x:c r="I48" s="119"/>
      <x:c r="J48" s="119"/>
      <x:c r="K48" s="119"/>
      <x:c r="L48" s="119"/>
      <x:c r="M48" s="119"/>
      <x:c r="N48" s="119"/>
      <x:c r="O48" s="119"/>
      <x:c r="P48" s="119"/>
    </x:row>
    <x:row r="49">
      <x:c r="A49" s="119"/>
      <x:c r="B49" s="119"/>
      <x:c r="C49" s="119"/>
      <x:c r="D49" s="119"/>
      <x:c r="E49" s="119"/>
      <x:c r="F49" s="119"/>
      <x:c r="G49" s="119"/>
      <x:c r="H49" s="119"/>
      <x:c r="I49" s="119"/>
      <x:c r="J49" s="119"/>
      <x:c r="K49" s="119"/>
      <x:c r="L49" s="119"/>
      <x:c r="M49" s="119"/>
      <x:c r="N49" s="119"/>
      <x:c r="O49" s="119"/>
      <x:c r="P49" s="119"/>
    </x:row>
    <x:row r="50">
      <x:c r="A50" s="119"/>
      <x:c r="B50" s="119"/>
      <x:c r="C50" s="119"/>
      <x:c r="D50" s="119"/>
      <x:c r="E50" s="119"/>
      <x:c r="F50" s="119"/>
      <x:c r="G50" s="119"/>
      <x:c r="H50" s="119"/>
      <x:c r="I50" s="119"/>
      <x:c r="J50" s="119"/>
      <x:c r="K50" s="119"/>
      <x:c r="L50" s="119"/>
      <x:c r="M50" s="119"/>
      <x:c r="N50" s="119"/>
      <x:c r="O50" s="119"/>
      <x:c r="P50" s="119"/>
    </x:row>
    <x:row r="51">
      <x:c r="A51" s="119"/>
      <x:c r="B51" s="119"/>
      <x:c r="C51" s="119"/>
      <x:c r="D51" s="119"/>
      <x:c r="E51" s="119"/>
      <x:c r="F51" s="119"/>
      <x:c r="G51" s="119"/>
      <x:c r="H51" s="119"/>
      <x:c r="I51" s="119"/>
      <x:c r="J51" s="119"/>
      <x:c r="K51" s="119"/>
      <x:c r="L51" s="119"/>
      <x:c r="M51" s="119"/>
      <x:c r="N51" s="119"/>
      <x:c r="O51" s="119"/>
      <x:c r="P51" s="119"/>
    </x:row>
    <x:row r="52">
      <x:c r="A52" s="119"/>
      <x:c r="B52" s="119"/>
      <x:c r="C52" s="119"/>
      <x:c r="D52" s="119"/>
      <x:c r="E52" s="119"/>
      <x:c r="F52" s="119"/>
      <x:c r="G52" s="119"/>
      <x:c r="H52" s="119"/>
      <x:c r="I52" s="119"/>
      <x:c r="J52" s="119"/>
      <x:c r="K52" s="119"/>
      <x:c r="L52" s="119"/>
      <x:c r="M52" s="119"/>
      <x:c r="N52" s="119"/>
      <x:c r="O52" s="119"/>
      <x:c r="P52" s="119"/>
    </x:row>
    <x:row r="53">
      <x:c r="A53" s="119"/>
      <x:c r="B53" s="119"/>
      <x:c r="C53" s="119"/>
      <x:c r="D53" s="119"/>
      <x:c r="E53" s="119"/>
      <x:c r="F53" s="119"/>
      <x:c r="G53" s="119"/>
      <x:c r="H53" s="119"/>
      <x:c r="I53" s="119"/>
      <x:c r="J53" s="119"/>
      <x:c r="K53" s="119"/>
      <x:c r="L53" s="119"/>
      <x:c r="M53" s="119"/>
      <x:c r="N53" s="119"/>
      <x:c r="O53" s="119"/>
      <x:c r="P53" s="119"/>
    </x:row>
    <x:row r="54">
      <x:c r="A54" s="119"/>
      <x:c r="B54" s="119"/>
      <x:c r="C54" s="119"/>
      <x:c r="D54" s="119"/>
      <x:c r="E54" s="119"/>
      <x:c r="F54" s="119"/>
      <x:c r="G54" s="119"/>
      <x:c r="H54" s="119"/>
      <x:c r="I54" s="119"/>
      <x:c r="J54" s="119"/>
      <x:c r="K54" s="119"/>
      <x:c r="L54" s="119"/>
      <x:c r="M54" s="119"/>
      <x:c r="N54" s="119"/>
      <x:c r="O54" s="119"/>
      <x:c r="P54" s="119"/>
    </x:row>
    <x:row r="55">
      <x:c r="A55" s="119"/>
      <x:c r="B55" s="119"/>
      <x:c r="C55" s="119"/>
      <x:c r="D55" s="119"/>
      <x:c r="E55" s="119"/>
      <x:c r="F55" s="119"/>
      <x:c r="G55" s="119"/>
      <x:c r="H55" s="119"/>
      <x:c r="I55" s="119"/>
      <x:c r="J55" s="119"/>
      <x:c r="K55" s="119"/>
      <x:c r="L55" s="119"/>
      <x:c r="M55" s="119"/>
      <x:c r="N55" s="119"/>
      <x:c r="O55" s="119"/>
      <x:c r="P55" s="119"/>
    </x:row>
    <x:row r="56">
      <x:c r="A56" s="119"/>
      <x:c r="B56" s="119"/>
      <x:c r="C56" s="119"/>
      <x:c r="D56" s="119"/>
      <x:c r="E56" s="119"/>
      <x:c r="F56" s="119"/>
      <x:c r="G56" s="119"/>
      <x:c r="H56" s="119"/>
      <x:c r="I56" s="119"/>
      <x:c r="J56" s="119"/>
      <x:c r="K56" s="119"/>
      <x:c r="L56" s="119"/>
      <x:c r="M56" s="119"/>
      <x:c r="N56" s="119"/>
      <x:c r="O56" s="119"/>
      <x:c r="P56" s="119"/>
    </x:row>
    <x:row r="57">
      <x:c r="A57" s="119"/>
      <x:c r="B57" s="119"/>
      <x:c r="C57" s="119"/>
      <x:c r="D57" s="119"/>
      <x:c r="E57" s="119"/>
      <x:c r="F57" s="119"/>
      <x:c r="G57" s="119"/>
      <x:c r="H57" s="119"/>
      <x:c r="I57" s="119"/>
      <x:c r="J57" s="119"/>
      <x:c r="K57" s="119"/>
      <x:c r="L57" s="119"/>
      <x:c r="M57" s="119"/>
      <x:c r="N57" s="119"/>
      <x:c r="O57" s="119"/>
      <x:c r="P57" s="119"/>
    </x:row>
    <x:row r="58">
      <x:c r="A58" s="119"/>
      <x:c r="B58" s="119"/>
      <x:c r="C58" s="119"/>
      <x:c r="D58" s="119"/>
      <x:c r="E58" s="119"/>
      <x:c r="F58" s="119"/>
      <x:c r="G58" s="119"/>
      <x:c r="H58" s="119"/>
      <x:c r="I58" s="119"/>
      <x:c r="J58" s="119"/>
      <x:c r="K58" s="119"/>
      <x:c r="L58" s="119"/>
      <x:c r="M58" s="119"/>
      <x:c r="N58" s="119"/>
      <x:c r="O58" s="119"/>
      <x:c r="P58" s="119"/>
    </x:row>
    <x:row r="59">
      <x:c r="A59" s="119"/>
      <x:c r="B59" s="119"/>
      <x:c r="C59" s="119"/>
      <x:c r="D59" s="119"/>
      <x:c r="E59" s="119"/>
      <x:c r="F59" s="119"/>
      <x:c r="G59" s="119"/>
      <x:c r="H59" s="119"/>
      <x:c r="I59" s="119"/>
      <x:c r="J59" s="119"/>
      <x:c r="K59" s="119"/>
      <x:c r="L59" s="119"/>
      <x:c r="M59" s="119"/>
      <x:c r="N59" s="119"/>
      <x:c r="O59" s="119"/>
      <x:c r="P59" s="119"/>
    </x:row>
    <x:row r="60">
      <x:c r="A60" s="119"/>
      <x:c r="B60" s="119"/>
      <x:c r="C60" s="119"/>
      <x:c r="D60" s="119"/>
      <x:c r="E60" s="119"/>
      <x:c r="F60" s="119"/>
      <x:c r="G60" s="119"/>
      <x:c r="H60" s="119"/>
      <x:c r="I60" s="119"/>
      <x:c r="J60" s="119"/>
      <x:c r="K60" s="119"/>
      <x:c r="L60" s="119"/>
      <x:c r="M60" s="119"/>
      <x:c r="N60" s="119"/>
      <x:c r="O60" s="119"/>
      <x:c r="P60" s="119"/>
    </x:row>
    <x:row r="61">
      <x:c r="A61" s="119"/>
      <x:c r="B61" s="119"/>
      <x:c r="C61" s="119"/>
      <x:c r="D61" s="119"/>
      <x:c r="E61" s="119"/>
      <x:c r="F61" s="119"/>
      <x:c r="G61" s="119"/>
      <x:c r="H61" s="119"/>
      <x:c r="I61" s="119"/>
      <x:c r="J61" s="119"/>
      <x:c r="K61" s="119"/>
      <x:c r="L61" s="119"/>
      <x:c r="M61" s="119"/>
      <x:c r="N61" s="119"/>
      <x:c r="O61" s="119"/>
      <x:c r="P61" s="119"/>
    </x:row>
    <x:row r="62">
      <x:c r="A62" s="119"/>
      <x:c r="B62" s="119"/>
      <x:c r="C62" s="119"/>
      <x:c r="D62" s="119"/>
      <x:c r="E62" s="119"/>
      <x:c r="F62" s="119"/>
      <x:c r="G62" s="119"/>
      <x:c r="H62" s="119"/>
      <x:c r="I62" s="119"/>
      <x:c r="J62" s="119"/>
      <x:c r="K62" s="119"/>
      <x:c r="L62" s="119"/>
      <x:c r="M62" s="119"/>
      <x:c r="N62" s="119"/>
      <x:c r="O62" s="119"/>
      <x:c r="P62" s="119"/>
    </x:row>
    <x:row r="63">
      <x:c r="A63" s="119"/>
      <x:c r="B63" s="119"/>
      <x:c r="C63" s="119"/>
      <x:c r="D63" s="119"/>
      <x:c r="E63" s="119"/>
      <x:c r="F63" s="119"/>
      <x:c r="G63" s="119"/>
      <x:c r="H63" s="119"/>
      <x:c r="I63" s="119"/>
      <x:c r="J63" s="119"/>
      <x:c r="K63" s="119"/>
      <x:c r="L63" s="119"/>
      <x:c r="M63" s="119"/>
      <x:c r="N63" s="119"/>
      <x:c r="O63" s="119"/>
      <x:c r="P63" s="119"/>
    </x:row>
    <x:row r="64">
      <x:c r="A64" s="119"/>
      <x:c r="B64" s="119"/>
      <x:c r="C64" s="119"/>
      <x:c r="D64" s="119"/>
      <x:c r="E64" s="119"/>
      <x:c r="F64" s="119"/>
      <x:c r="G64" s="119"/>
      <x:c r="H64" s="119"/>
      <x:c r="I64" s="119"/>
      <x:c r="J64" s="119"/>
      <x:c r="K64" s="119"/>
      <x:c r="L64" s="119"/>
      <x:c r="M64" s="119"/>
      <x:c r="N64" s="119"/>
      <x:c r="O64" s="119"/>
      <x:c r="P64" s="119"/>
    </x:row>
    <x:row r="65">
      <x:c r="A65" s="119"/>
      <x:c r="B65" s="119"/>
      <x:c r="C65" s="119"/>
      <x:c r="D65" s="119"/>
      <x:c r="E65" s="119"/>
      <x:c r="F65" s="119"/>
      <x:c r="G65" s="119"/>
      <x:c r="H65" s="119"/>
      <x:c r="I65" s="119"/>
      <x:c r="J65" s="119"/>
      <x:c r="K65" s="119"/>
      <x:c r="L65" s="119"/>
      <x:c r="M65" s="119"/>
      <x:c r="N65" s="119"/>
      <x:c r="O65" s="119"/>
      <x:c r="P65" s="119"/>
    </x:row>
    <x:row r="66">
      <x:c r="A66" s="119"/>
      <x:c r="B66" s="119"/>
      <x:c r="C66" s="119"/>
      <x:c r="D66" s="119"/>
      <x:c r="E66" s="119"/>
      <x:c r="F66" s="119"/>
      <x:c r="G66" s="119"/>
      <x:c r="H66" s="119"/>
      <x:c r="I66" s="119"/>
      <x:c r="J66" s="119"/>
      <x:c r="K66" s="119"/>
      <x:c r="L66" s="119"/>
      <x:c r="M66" s="119"/>
      <x:c r="N66" s="119"/>
      <x:c r="O66" s="119"/>
      <x:c r="P66" s="119"/>
    </x:row>
    <x:row r="67">
      <x:c r="A67" s="119"/>
      <x:c r="B67" s="119"/>
      <x:c r="C67" s="119"/>
      <x:c r="D67" s="119"/>
      <x:c r="E67" s="119"/>
      <x:c r="F67" s="119"/>
      <x:c r="G67" s="119"/>
      <x:c r="H67" s="119"/>
      <x:c r="I67" s="119"/>
      <x:c r="J67" s="119"/>
      <x:c r="K67" s="119"/>
      <x:c r="L67" s="119"/>
      <x:c r="M67" s="119"/>
      <x:c r="N67" s="119"/>
      <x:c r="O67" s="119"/>
      <x:c r="P67" s="119"/>
    </x:row>
    <x:row r="68">
      <x:c r="A68" s="119"/>
      <x:c r="B68" s="119"/>
      <x:c r="C68" s="119"/>
      <x:c r="D68" s="119"/>
      <x:c r="E68" s="119"/>
      <x:c r="F68" s="119"/>
      <x:c r="G68" s="119"/>
      <x:c r="H68" s="119"/>
      <x:c r="I68" s="119"/>
      <x:c r="J68" s="119"/>
      <x:c r="K68" s="119"/>
      <x:c r="L68" s="119"/>
      <x:c r="M68" s="119"/>
      <x:c r="N68" s="119"/>
      <x:c r="O68" s="119"/>
      <x:c r="P68" s="119"/>
    </x:row>
    <x:row r="69">
      <x:c r="A69" s="119"/>
      <x:c r="B69" s="119"/>
      <x:c r="C69" s="119"/>
      <x:c r="D69" s="119"/>
      <x:c r="E69" s="119"/>
      <x:c r="F69" s="119"/>
      <x:c r="G69" s="119"/>
      <x:c r="H69" s="119"/>
      <x:c r="I69" s="119"/>
      <x:c r="J69" s="119"/>
      <x:c r="K69" s="119"/>
      <x:c r="L69" s="119"/>
      <x:c r="M69" s="119"/>
      <x:c r="N69" s="119"/>
      <x:c r="O69" s="119"/>
      <x:c r="P69" s="119"/>
    </x:row>
    <x:row r="70">
      <x:c r="A70" s="119"/>
      <x:c r="B70" s="119"/>
      <x:c r="C70" s="119"/>
      <x:c r="D70" s="119"/>
      <x:c r="E70" s="119"/>
      <x:c r="F70" s="119"/>
      <x:c r="G70" s="119"/>
      <x:c r="H70" s="119"/>
      <x:c r="I70" s="119"/>
      <x:c r="J70" s="119"/>
      <x:c r="K70" s="119"/>
      <x:c r="L70" s="119"/>
      <x:c r="M70" s="119"/>
      <x:c r="N70" s="119"/>
      <x:c r="O70" s="119"/>
      <x:c r="P70" s="119"/>
    </x:row>
    <x:row r="71">
      <x:c r="A71" s="119"/>
      <x:c r="B71" s="119"/>
      <x:c r="C71" s="119"/>
      <x:c r="D71" s="119"/>
      <x:c r="E71" s="119"/>
      <x:c r="F71" s="119"/>
      <x:c r="G71" s="119"/>
      <x:c r="H71" s="119"/>
      <x:c r="I71" s="119"/>
      <x:c r="J71" s="119"/>
      <x:c r="K71" s="119"/>
      <x:c r="L71" s="119"/>
      <x:c r="M71" s="119"/>
      <x:c r="N71" s="119"/>
      <x:c r="O71" s="119"/>
      <x:c r="P71" s="119"/>
    </x:row>
    <x:row r="72">
      <x:c r="A72" s="119"/>
      <x:c r="B72" s="119"/>
      <x:c r="C72" s="119"/>
      <x:c r="D72" s="119"/>
      <x:c r="E72" s="119"/>
      <x:c r="F72" s="119"/>
      <x:c r="G72" s="119"/>
      <x:c r="H72" s="119"/>
      <x:c r="I72" s="119"/>
      <x:c r="J72" s="119"/>
      <x:c r="K72" s="119"/>
      <x:c r="L72" s="119"/>
      <x:c r="M72" s="119"/>
      <x:c r="N72" s="119"/>
      <x:c r="O72" s="119"/>
      <x:c r="P72" s="119"/>
    </x:row>
    <x:row r="73">
      <x:c r="A73" s="119"/>
      <x:c r="B73" s="119"/>
      <x:c r="C73" s="119"/>
      <x:c r="D73" s="119"/>
      <x:c r="E73" s="119"/>
      <x:c r="F73" s="119"/>
      <x:c r="G73" s="119"/>
      <x:c r="H73" s="119"/>
      <x:c r="I73" s="119"/>
      <x:c r="J73" s="119"/>
      <x:c r="K73" s="119"/>
      <x:c r="L73" s="119"/>
      <x:c r="M73" s="119"/>
      <x:c r="N73" s="119"/>
      <x:c r="O73" s="119"/>
      <x:c r="P73" s="119"/>
    </x:row>
    <x:row r="74">
      <x:c r="A74" s="119"/>
      <x:c r="B74" s="119"/>
      <x:c r="C74" s="119"/>
      <x:c r="D74" s="119"/>
      <x:c r="E74" s="119"/>
      <x:c r="F74" s="119"/>
      <x:c r="G74" s="119"/>
      <x:c r="H74" s="119"/>
      <x:c r="I74" s="119"/>
      <x:c r="J74" s="119"/>
      <x:c r="K74" s="119"/>
      <x:c r="L74" s="119"/>
      <x:c r="M74" s="119"/>
      <x:c r="N74" s="119"/>
      <x:c r="O74" s="119"/>
      <x:c r="P74" s="119"/>
    </x:row>
    <x:row r="75">
      <x:c r="A75" s="119"/>
      <x:c r="B75" s="119"/>
      <x:c r="C75" s="119"/>
      <x:c r="D75" s="119"/>
      <x:c r="E75" s="119"/>
      <x:c r="F75" s="119"/>
      <x:c r="G75" s="119"/>
      <x:c r="H75" s="119"/>
      <x:c r="I75" s="119"/>
      <x:c r="J75" s="119"/>
      <x:c r="K75" s="119"/>
      <x:c r="L75" s="119"/>
      <x:c r="M75" s="119"/>
      <x:c r="N75" s="119"/>
      <x:c r="O75" s="119"/>
      <x:c r="P75" s="119"/>
    </x:row>
    <x:row r="76">
      <x:c r="A76" s="119"/>
      <x:c r="B76" s="119"/>
      <x:c r="C76" s="119"/>
      <x:c r="D76" s="119"/>
      <x:c r="E76" s="119"/>
      <x:c r="F76" s="119"/>
      <x:c r="G76" s="119"/>
      <x:c r="H76" s="119"/>
      <x:c r="I76" s="119"/>
      <x:c r="J76" s="119"/>
      <x:c r="K76" s="119"/>
      <x:c r="L76" s="119"/>
      <x:c r="M76" s="119"/>
      <x:c r="N76" s="119"/>
      <x:c r="O76" s="119"/>
      <x:c r="P76" s="119"/>
    </x:row>
    <x:row r="77">
      <x:c r="A77" s="119"/>
      <x:c r="B77" s="119"/>
      <x:c r="C77" s="119"/>
      <x:c r="D77" s="119"/>
      <x:c r="E77" s="119"/>
      <x:c r="F77" s="119"/>
      <x:c r="G77" s="119"/>
      <x:c r="H77" s="119"/>
      <x:c r="I77" s="119"/>
      <x:c r="J77" s="119"/>
      <x:c r="K77" s="119"/>
      <x:c r="L77" s="119"/>
      <x:c r="M77" s="119"/>
      <x:c r="N77" s="119"/>
      <x:c r="O77" s="119"/>
      <x:c r="P77" s="119"/>
    </x:row>
    <x:row r="78">
      <x:c r="A78" s="119"/>
      <x:c r="B78" s="119"/>
      <x:c r="C78" s="119"/>
      <x:c r="D78" s="119"/>
      <x:c r="E78" s="119"/>
      <x:c r="F78" s="119"/>
      <x:c r="G78" s="119"/>
      <x:c r="H78" s="119"/>
      <x:c r="I78" s="119"/>
      <x:c r="J78" s="119"/>
      <x:c r="K78" s="119"/>
      <x:c r="L78" s="119"/>
      <x:c r="M78" s="119"/>
      <x:c r="N78" s="119"/>
      <x:c r="O78" s="119"/>
      <x:c r="P78" s="119"/>
    </x:row>
    <x:row r="79">
      <x:c r="A79" s="119"/>
      <x:c r="B79" s="119"/>
      <x:c r="C79" s="119"/>
      <x:c r="D79" s="119"/>
      <x:c r="E79" s="119"/>
      <x:c r="F79" s="119"/>
      <x:c r="G79" s="119"/>
      <x:c r="H79" s="119"/>
      <x:c r="I79" s="119"/>
      <x:c r="J79" s="119"/>
      <x:c r="K79" s="119"/>
      <x:c r="L79" s="119"/>
      <x:c r="M79" s="119"/>
      <x:c r="N79" s="119"/>
      <x:c r="O79" s="119"/>
      <x:c r="P79" s="119"/>
    </x:row>
    <x:row r="80">
      <x:c r="A80" s="119"/>
      <x:c r="B80" s="119"/>
      <x:c r="C80" s="119"/>
      <x:c r="D80" s="119"/>
      <x:c r="E80" s="119"/>
      <x:c r="F80" s="119"/>
      <x:c r="G80" s="119"/>
      <x:c r="H80" s="119"/>
      <x:c r="I80" s="119"/>
      <x:c r="J80" s="119"/>
      <x:c r="K80" s="119"/>
      <x:c r="L80" s="119"/>
      <x:c r="M80" s="119"/>
      <x:c r="N80" s="119"/>
      <x:c r="O80" s="119"/>
      <x:c r="P80" s="119"/>
    </x:row>
    <x:row r="81">
      <x:c r="A81" s="119"/>
      <x:c r="B81" s="119"/>
      <x:c r="C81" s="119"/>
      <x:c r="D81" s="119"/>
      <x:c r="E81" s="119"/>
      <x:c r="F81" s="119"/>
      <x:c r="G81" s="119"/>
      <x:c r="H81" s="119"/>
      <x:c r="I81" s="119"/>
      <x:c r="J81" s="119"/>
      <x:c r="K81" s="119"/>
      <x:c r="L81" s="119"/>
      <x:c r="M81" s="119"/>
      <x:c r="N81" s="119"/>
      <x:c r="O81" s="119"/>
      <x:c r="P81" s="119"/>
    </x:row>
    <x:row r="82">
      <x:c r="A82" s="119"/>
      <x:c r="B82" s="119"/>
      <x:c r="C82" s="119"/>
      <x:c r="D82" s="119"/>
      <x:c r="E82" s="119"/>
      <x:c r="F82" s="119"/>
      <x:c r="G82" s="119"/>
      <x:c r="H82" s="119"/>
      <x:c r="I82" s="119"/>
      <x:c r="J82" s="119"/>
      <x:c r="K82" s="119"/>
      <x:c r="L82" s="119"/>
      <x:c r="M82" s="119"/>
      <x:c r="N82" s="119"/>
      <x:c r="O82" s="119"/>
      <x:c r="P82" s="119"/>
    </x:row>
    <x:row r="83">
      <x:c r="A83" s="119"/>
      <x:c r="B83" s="119"/>
      <x:c r="C83" s="119"/>
      <x:c r="D83" s="119"/>
      <x:c r="E83" s="119"/>
      <x:c r="F83" s="119"/>
      <x:c r="G83" s="119"/>
      <x:c r="H83" s="119"/>
      <x:c r="I83" s="119"/>
      <x:c r="J83" s="119"/>
      <x:c r="K83" s="119"/>
      <x:c r="L83" s="119"/>
      <x:c r="M83" s="119"/>
      <x:c r="N83" s="119"/>
      <x:c r="O83" s="119"/>
      <x:c r="P83" s="119"/>
    </x:row>
    <x:row r="84">
      <x:c r="A84" s="119"/>
      <x:c r="B84" s="119"/>
      <x:c r="C84" s="119"/>
      <x:c r="D84" s="119"/>
      <x:c r="E84" s="119"/>
      <x:c r="F84" s="119"/>
      <x:c r="G84" s="119"/>
      <x:c r="H84" s="119"/>
      <x:c r="I84" s="119"/>
      <x:c r="J84" s="119"/>
      <x:c r="K84" s="119"/>
      <x:c r="L84" s="119"/>
      <x:c r="M84" s="119"/>
      <x:c r="N84" s="119"/>
      <x:c r="O84" s="119"/>
      <x:c r="P84" s="119"/>
    </x:row>
    <x:row r="85">
      <x:c r="A85" s="119"/>
      <x:c r="B85" s="119"/>
      <x:c r="C85" s="119"/>
      <x:c r="D85" s="119"/>
      <x:c r="E85" s="119"/>
      <x:c r="F85" s="119"/>
      <x:c r="G85" s="119"/>
      <x:c r="H85" s="119"/>
      <x:c r="I85" s="119"/>
      <x:c r="J85" s="119"/>
      <x:c r="K85" s="119"/>
      <x:c r="L85" s="119"/>
      <x:c r="M85" s="119"/>
      <x:c r="N85" s="119"/>
      <x:c r="O85" s="119"/>
      <x:c r="P85" s="119"/>
    </x:row>
    <x:row r="86">
      <x:c r="A86" s="119"/>
      <x:c r="B86" s="119"/>
      <x:c r="C86" s="119"/>
      <x:c r="D86" s="119"/>
      <x:c r="E86" s="119"/>
      <x:c r="F86" s="119"/>
      <x:c r="G86" s="119"/>
      <x:c r="H86" s="119"/>
      <x:c r="I86" s="119"/>
      <x:c r="J86" s="119"/>
      <x:c r="K86" s="119"/>
      <x:c r="L86" s="119"/>
      <x:c r="M86" s="119"/>
      <x:c r="N86" s="119"/>
      <x:c r="O86" s="119"/>
      <x:c r="P86" s="119"/>
    </x:row>
    <x:row r="87">
      <x:c r="A87" s="119"/>
      <x:c r="B87" s="119"/>
      <x:c r="C87" s="119"/>
      <x:c r="D87" s="119"/>
      <x:c r="E87" s="119"/>
      <x:c r="F87" s="119"/>
      <x:c r="G87" s="119"/>
      <x:c r="H87" s="119"/>
      <x:c r="I87" s="119"/>
      <x:c r="J87" s="119"/>
      <x:c r="K87" s="119"/>
      <x:c r="L87" s="119"/>
      <x:c r="M87" s="119"/>
      <x:c r="N87" s="119"/>
      <x:c r="O87" s="119"/>
      <x:c r="P87" s="119"/>
    </x:row>
    <x:row r="88">
      <x:c r="A88" s="119"/>
      <x:c r="B88" s="119"/>
      <x:c r="C88" s="119"/>
      <x:c r="D88" s="119"/>
      <x:c r="E88" s="119"/>
      <x:c r="F88" s="119"/>
      <x:c r="G88" s="119"/>
      <x:c r="H88" s="119"/>
      <x:c r="I88" s="119"/>
      <x:c r="J88" s="119"/>
      <x:c r="K88" s="119"/>
      <x:c r="L88" s="119"/>
      <x:c r="M88" s="119"/>
      <x:c r="N88" s="119"/>
      <x:c r="O88" s="119"/>
      <x:c r="P88" s="119"/>
    </x:row>
    <x:row r="89">
      <x:c r="A89" s="119"/>
      <x:c r="B89" s="119"/>
      <x:c r="C89" s="119"/>
      <x:c r="D89" s="119"/>
      <x:c r="E89" s="119"/>
      <x:c r="F89" s="119"/>
      <x:c r="G89" s="119"/>
      <x:c r="H89" s="119"/>
      <x:c r="I89" s="119"/>
      <x:c r="J89" s="119"/>
      <x:c r="K89" s="119"/>
      <x:c r="L89" s="119"/>
      <x:c r="M89" s="119"/>
      <x:c r="N89" s="119"/>
      <x:c r="O89" s="119"/>
      <x:c r="P89" s="119"/>
    </x:row>
    <x:row r="90">
      <x:c r="A90" s="119"/>
      <x:c r="B90" s="119"/>
      <x:c r="C90" s="119"/>
      <x:c r="D90" s="119"/>
      <x:c r="E90" s="119"/>
      <x:c r="F90" s="119"/>
      <x:c r="G90" s="119"/>
      <x:c r="H90" s="119"/>
      <x:c r="I90" s="119"/>
      <x:c r="J90" s="119"/>
      <x:c r="K90" s="119"/>
      <x:c r="L90" s="119"/>
      <x:c r="M90" s="119"/>
      <x:c r="N90" s="119"/>
      <x:c r="O90" s="119"/>
      <x:c r="P90" s="119"/>
    </x:row>
    <x:row r="91">
      <x:c r="A91" s="119"/>
      <x:c r="B91" s="119"/>
      <x:c r="C91" s="119"/>
      <x:c r="D91" s="119"/>
      <x:c r="E91" s="119"/>
      <x:c r="F91" s="119"/>
      <x:c r="G91" s="119"/>
      <x:c r="H91" s="119"/>
      <x:c r="I91" s="119"/>
      <x:c r="J91" s="119"/>
      <x:c r="K91" s="119"/>
      <x:c r="L91" s="119"/>
      <x:c r="M91" s="119"/>
      <x:c r="N91" s="119"/>
      <x:c r="O91" s="119"/>
      <x:c r="P91" s="119"/>
    </x:row>
    <x:row r="92">
      <x:c r="A92" s="119"/>
      <x:c r="B92" s="119"/>
      <x:c r="C92" s="119"/>
      <x:c r="D92" s="119"/>
      <x:c r="E92" s="119"/>
      <x:c r="F92" s="119"/>
      <x:c r="G92" s="119"/>
      <x:c r="H92" s="119"/>
      <x:c r="I92" s="119"/>
      <x:c r="J92" s="119"/>
      <x:c r="K92" s="119"/>
      <x:c r="L92" s="119"/>
      <x:c r="M92" s="119"/>
      <x:c r="N92" s="119"/>
      <x:c r="O92" s="119"/>
      <x:c r="P92" s="119"/>
    </x:row>
    <x:row r="93">
      <x:c r="A93" s="119"/>
      <x:c r="B93" s="119"/>
      <x:c r="C93" s="119"/>
      <x:c r="D93" s="119"/>
      <x:c r="E93" s="119"/>
      <x:c r="F93" s="119"/>
      <x:c r="G93" s="119"/>
      <x:c r="H93" s="119"/>
      <x:c r="I93" s="119"/>
      <x:c r="J93" s="119"/>
      <x:c r="K93" s="119"/>
      <x:c r="L93" s="119"/>
      <x:c r="M93" s="119"/>
      <x:c r="N93" s="119"/>
      <x:c r="O93" s="119"/>
      <x:c r="P93" s="119"/>
    </x:row>
    <x:row r="94">
      <x:c r="A94" s="119"/>
      <x:c r="B94" s="119"/>
      <x:c r="C94" s="119"/>
      <x:c r="D94" s="119"/>
      <x:c r="E94" s="119"/>
      <x:c r="F94" s="119"/>
      <x:c r="G94" s="119"/>
      <x:c r="H94" s="119"/>
      <x:c r="I94" s="119"/>
      <x:c r="J94" s="119"/>
      <x:c r="K94" s="119"/>
      <x:c r="L94" s="119"/>
      <x:c r="M94" s="119"/>
      <x:c r="N94" s="119"/>
      <x:c r="O94" s="119"/>
      <x:c r="P94" s="119"/>
    </x:row>
    <x:row r="95">
      <x:c r="A95" s="119"/>
      <x:c r="B95" s="119"/>
      <x:c r="C95" s="119"/>
      <x:c r="D95" s="119"/>
      <x:c r="E95" s="119"/>
      <x:c r="F95" s="119"/>
      <x:c r="G95" s="119"/>
      <x:c r="H95" s="119"/>
      <x:c r="I95" s="119"/>
      <x:c r="J95" s="119"/>
      <x:c r="K95" s="119"/>
      <x:c r="L95" s="119"/>
      <x:c r="M95" s="119"/>
      <x:c r="N95" s="119"/>
      <x:c r="O95" s="119"/>
      <x:c r="P95" s="119"/>
    </x:row>
    <x:row r="96">
      <x:c r="A96" s="119"/>
      <x:c r="B96" s="119"/>
      <x:c r="C96" s="119"/>
      <x:c r="D96" s="119"/>
      <x:c r="E96" s="119"/>
      <x:c r="F96" s="119"/>
      <x:c r="G96" s="119"/>
      <x:c r="H96" s="119"/>
      <x:c r="I96" s="119"/>
      <x:c r="J96" s="119"/>
      <x:c r="K96" s="119"/>
      <x:c r="L96" s="119"/>
      <x:c r="M96" s="119"/>
      <x:c r="N96" s="119"/>
      <x:c r="O96" s="119"/>
      <x:c r="P96" s="119"/>
    </x:row>
    <x:row r="97">
      <x:c r="A97" s="119"/>
      <x:c r="B97" s="119"/>
      <x:c r="C97" s="119"/>
      <x:c r="D97" s="119"/>
      <x:c r="E97" s="119"/>
      <x:c r="F97" s="119"/>
      <x:c r="G97" s="119"/>
      <x:c r="H97" s="119"/>
      <x:c r="I97" s="119"/>
      <x:c r="J97" s="119"/>
      <x:c r="K97" s="119"/>
      <x:c r="L97" s="119"/>
      <x:c r="M97" s="119"/>
      <x:c r="N97" s="119"/>
      <x:c r="O97" s="119"/>
      <x:c r="P97" s="119"/>
    </x:row>
    <x:row r="98">
      <x:c r="A98" s="119"/>
      <x:c r="B98" s="119"/>
      <x:c r="C98" s="119"/>
      <x:c r="D98" s="119"/>
      <x:c r="E98" s="119"/>
      <x:c r="F98" s="119"/>
      <x:c r="G98" s="119"/>
      <x:c r="H98" s="119"/>
      <x:c r="I98" s="119"/>
      <x:c r="J98" s="119"/>
      <x:c r="K98" s="119"/>
      <x:c r="L98" s="119"/>
      <x:c r="M98" s="119"/>
      <x:c r="N98" s="119"/>
      <x:c r="O98" s="119"/>
      <x:c r="P98" s="119"/>
    </x:row>
    <x:row r="99">
      <x:c r="A99" s="119"/>
      <x:c r="B99" s="119"/>
      <x:c r="C99" s="119"/>
      <x:c r="D99" s="119"/>
      <x:c r="E99" s="119"/>
      <x:c r="F99" s="119"/>
      <x:c r="G99" s="119"/>
      <x:c r="H99" s="119"/>
      <x:c r="I99" s="119"/>
      <x:c r="J99" s="119"/>
      <x:c r="K99" s="119"/>
      <x:c r="L99" s="119"/>
      <x:c r="M99" s="119"/>
      <x:c r="N99" s="119"/>
      <x:c r="O99" s="119"/>
      <x:c r="P99" s="119"/>
    </x:row>
    <x:row r="100">
      <x:c r="A100" s="119"/>
      <x:c r="B100" s="119"/>
      <x:c r="C100" s="119"/>
      <x:c r="D100" s="119"/>
      <x:c r="E100" s="119"/>
      <x:c r="F100" s="119"/>
      <x:c r="G100" s="119"/>
      <x:c r="H100" s="119"/>
      <x:c r="I100" s="119"/>
      <x:c r="J100" s="119"/>
      <x:c r="K100" s="119"/>
      <x:c r="L100" s="119"/>
      <x:c r="M100" s="119"/>
      <x:c r="N100" s="119"/>
      <x:c r="O100" s="119"/>
      <x:c r="P100" s="119"/>
    </x:row>
    <x:row r="101">
      <x:c r="A101" s="119"/>
      <x:c r="B101" s="119"/>
      <x:c r="C101" s="119"/>
      <x:c r="D101" s="119"/>
      <x:c r="E101" s="119"/>
      <x:c r="F101" s="119"/>
      <x:c r="G101" s="119"/>
      <x:c r="H101" s="119"/>
      <x:c r="I101" s="119"/>
      <x:c r="J101" s="119"/>
      <x:c r="K101" s="119"/>
      <x:c r="L101" s="119"/>
      <x:c r="M101" s="119"/>
      <x:c r="N101" s="119"/>
      <x:c r="O101" s="119"/>
      <x:c r="P101" s="119"/>
    </x:row>
    <x:row r="102">
      <x:c r="A102" s="119"/>
      <x:c r="B102" s="119"/>
      <x:c r="C102" s="119"/>
      <x:c r="D102" s="119"/>
      <x:c r="E102" s="119"/>
      <x:c r="F102" s="119"/>
      <x:c r="G102" s="119"/>
      <x:c r="H102" s="119"/>
      <x:c r="I102" s="119"/>
      <x:c r="J102" s="119"/>
      <x:c r="K102" s="119"/>
      <x:c r="L102" s="119"/>
      <x:c r="M102" s="119"/>
      <x:c r="N102" s="119"/>
      <x:c r="O102" s="119"/>
      <x:c r="P102" s="119"/>
    </x:row>
    <x:row r="103">
      <x:c r="A103" s="119"/>
      <x:c r="B103" s="119"/>
      <x:c r="C103" s="119"/>
      <x:c r="D103" s="119"/>
      <x:c r="E103" s="119"/>
      <x:c r="F103" s="119"/>
      <x:c r="G103" s="119"/>
      <x:c r="H103" s="119"/>
      <x:c r="I103" s="119"/>
      <x:c r="J103" s="119"/>
      <x:c r="K103" s="119"/>
      <x:c r="L103" s="119"/>
      <x:c r="M103" s="119"/>
      <x:c r="N103" s="119"/>
      <x:c r="O103" s="119"/>
      <x:c r="P103" s="119"/>
    </x:row>
    <x:row r="104">
      <x:c r="A104" s="119"/>
      <x:c r="B104" s="119"/>
      <x:c r="C104" s="119"/>
      <x:c r="D104" s="119"/>
      <x:c r="E104" s="119"/>
      <x:c r="F104" s="119"/>
      <x:c r="G104" s="119"/>
      <x:c r="H104" s="119"/>
      <x:c r="I104" s="119"/>
      <x:c r="J104" s="119"/>
      <x:c r="K104" s="119"/>
      <x:c r="L104" s="119"/>
      <x:c r="M104" s="119"/>
      <x:c r="N104" s="119"/>
      <x:c r="O104" s="119"/>
      <x:c r="P104" s="119"/>
    </x:row>
    <x:row r="105">
      <x:c r="A105" s="119"/>
      <x:c r="B105" s="119"/>
      <x:c r="C105" s="119"/>
      <x:c r="D105" s="119"/>
      <x:c r="E105" s="119"/>
      <x:c r="F105" s="119"/>
      <x:c r="G105" s="119"/>
      <x:c r="H105" s="119"/>
      <x:c r="I105" s="119"/>
      <x:c r="J105" s="119"/>
      <x:c r="K105" s="119"/>
      <x:c r="L105" s="119"/>
      <x:c r="M105" s="119"/>
      <x:c r="N105" s="119"/>
      <x:c r="O105" s="119"/>
      <x:c r="P105" s="119"/>
    </x:row>
    <x:row r="106">
      <x:c r="A106" s="119"/>
      <x:c r="B106" s="119"/>
      <x:c r="C106" s="119"/>
      <x:c r="D106" s="119"/>
      <x:c r="E106" s="119"/>
      <x:c r="F106" s="119"/>
      <x:c r="G106" s="119"/>
      <x:c r="H106" s="119"/>
      <x:c r="I106" s="119"/>
      <x:c r="J106" s="119"/>
      <x:c r="K106" s="119"/>
      <x:c r="L106" s="119"/>
      <x:c r="M106" s="119"/>
      <x:c r="N106" s="119"/>
      <x:c r="O106" s="119"/>
      <x:c r="P106" s="119"/>
    </x:row>
    <x:row r="107">
      <x:c r="A107" s="119"/>
      <x:c r="B107" s="119"/>
      <x:c r="C107" s="119"/>
      <x:c r="D107" s="119"/>
      <x:c r="E107" s="119"/>
      <x:c r="F107" s="119"/>
      <x:c r="G107" s="119"/>
      <x:c r="H107" s="119"/>
      <x:c r="I107" s="119"/>
      <x:c r="J107" s="119"/>
      <x:c r="K107" s="119"/>
      <x:c r="L107" s="119"/>
      <x:c r="M107" s="119"/>
      <x:c r="N107" s="119"/>
      <x:c r="O107" s="119"/>
      <x:c r="P107" s="119"/>
    </x:row>
    <x:row r="108">
      <x:c r="A108" s="119"/>
      <x:c r="B108" s="119"/>
      <x:c r="C108" s="119"/>
      <x:c r="D108" s="119"/>
      <x:c r="E108" s="119"/>
      <x:c r="F108" s="119"/>
      <x:c r="G108" s="119"/>
      <x:c r="H108" s="119"/>
      <x:c r="I108" s="119"/>
      <x:c r="J108" s="119"/>
      <x:c r="K108" s="119"/>
      <x:c r="L108" s="119"/>
      <x:c r="M108" s="119"/>
      <x:c r="N108" s="119"/>
      <x:c r="O108" s="119"/>
      <x:c r="P108" s="119"/>
    </x:row>
    <x:row r="109">
      <x:c r="A109" s="119"/>
      <x:c r="B109" s="119"/>
      <x:c r="C109" s="119"/>
      <x:c r="D109" s="119"/>
      <x:c r="E109" s="119"/>
      <x:c r="F109" s="119"/>
      <x:c r="G109" s="119"/>
      <x:c r="H109" s="119"/>
      <x:c r="I109" s="119"/>
      <x:c r="J109" s="119"/>
      <x:c r="K109" s="119"/>
      <x:c r="L109" s="119"/>
      <x:c r="M109" s="119"/>
      <x:c r="N109" s="119"/>
      <x:c r="O109" s="119"/>
      <x:c r="P109" s="119"/>
    </x:row>
    <x:row r="110">
      <x:c r="A110" s="119"/>
      <x:c r="B110" s="119"/>
      <x:c r="C110" s="119"/>
      <x:c r="D110" s="119"/>
      <x:c r="E110" s="119"/>
      <x:c r="F110" s="119"/>
      <x:c r="G110" s="119"/>
      <x:c r="H110" s="119"/>
      <x:c r="I110" s="119"/>
      <x:c r="J110" s="119"/>
      <x:c r="K110" s="119"/>
      <x:c r="L110" s="119"/>
      <x:c r="M110" s="119"/>
      <x:c r="N110" s="119"/>
      <x:c r="O110" s="119"/>
      <x:c r="P110" s="119"/>
    </x:row>
    <x:row r="111">
      <x:c r="A111" s="119"/>
      <x:c r="B111" s="119"/>
      <x:c r="C111" s="119"/>
      <x:c r="D111" s="119"/>
      <x:c r="E111" s="119"/>
      <x:c r="F111" s="119"/>
      <x:c r="G111" s="119"/>
      <x:c r="H111" s="119"/>
      <x:c r="I111" s="119"/>
      <x:c r="J111" s="119"/>
      <x:c r="K111" s="119"/>
      <x:c r="L111" s="119"/>
      <x:c r="M111" s="119"/>
      <x:c r="N111" s="119"/>
      <x:c r="O111" s="119"/>
      <x:c r="P111" s="119"/>
    </x:row>
    <x:row r="112">
      <x:c r="A112" s="119"/>
      <x:c r="B112" s="119"/>
      <x:c r="C112" s="119"/>
      <x:c r="D112" s="119"/>
      <x:c r="E112" s="119"/>
      <x:c r="F112" s="119"/>
      <x:c r="G112" s="119"/>
      <x:c r="H112" s="119"/>
      <x:c r="I112" s="119"/>
      <x:c r="J112" s="119"/>
      <x:c r="K112" s="119"/>
      <x:c r="L112" s="119"/>
      <x:c r="M112" s="119"/>
      <x:c r="N112" s="119"/>
      <x:c r="O112" s="119"/>
      <x:c r="P112" s="119"/>
    </x:row>
    <x:row r="113">
      <x:c r="A113" s="119"/>
      <x:c r="B113" s="119"/>
      <x:c r="C113" s="119"/>
      <x:c r="D113" s="119"/>
      <x:c r="E113" s="119"/>
      <x:c r="F113" s="119"/>
      <x:c r="G113" s="119"/>
      <x:c r="H113" s="119"/>
      <x:c r="I113" s="119"/>
      <x:c r="J113" s="119"/>
      <x:c r="K113" s="119"/>
      <x:c r="L113" s="119"/>
      <x:c r="M113" s="119"/>
      <x:c r="N113" s="119"/>
      <x:c r="O113" s="119"/>
      <x:c r="P113" s="119"/>
    </x:row>
    <x:row r="114">
      <x:c r="A114" s="119"/>
      <x:c r="B114" s="119"/>
      <x:c r="C114" s="119"/>
      <x:c r="D114" s="119"/>
      <x:c r="E114" s="119"/>
      <x:c r="F114" s="119"/>
      <x:c r="G114" s="119"/>
      <x:c r="H114" s="119"/>
      <x:c r="I114" s="119"/>
      <x:c r="J114" s="119"/>
      <x:c r="K114" s="119"/>
      <x:c r="L114" s="119"/>
      <x:c r="M114" s="119"/>
      <x:c r="N114" s="119"/>
      <x:c r="O114" s="119"/>
      <x:c r="P114" s="119"/>
    </x:row>
    <x:row r="115">
      <x:c r="A115" s="119"/>
      <x:c r="B115" s="119"/>
      <x:c r="C115" s="119"/>
      <x:c r="D115" s="119"/>
      <x:c r="E115" s="119"/>
      <x:c r="F115" s="119"/>
      <x:c r="G115" s="119"/>
      <x:c r="H115" s="119"/>
      <x:c r="I115" s="119"/>
      <x:c r="J115" s="119"/>
      <x:c r="K115" s="119"/>
      <x:c r="L115" s="119"/>
      <x:c r="M115" s="119"/>
      <x:c r="N115" s="119"/>
      <x:c r="O115" s="119"/>
      <x:c r="P115" s="119"/>
    </x:row>
    <x:row r="116">
      <x:c r="A116" s="119"/>
      <x:c r="B116" s="119"/>
      <x:c r="C116" s="119"/>
      <x:c r="D116" s="119"/>
      <x:c r="E116" s="119"/>
      <x:c r="F116" s="119"/>
      <x:c r="G116" s="119"/>
      <x:c r="H116" s="119"/>
      <x:c r="I116" s="119"/>
      <x:c r="J116" s="119"/>
      <x:c r="K116" s="119"/>
      <x:c r="L116" s="119"/>
      <x:c r="M116" s="119"/>
      <x:c r="N116" s="119"/>
      <x:c r="O116" s="119"/>
      <x:c r="P116" s="119"/>
    </x:row>
    <x:row r="117">
      <x:c r="A117" s="119"/>
      <x:c r="B117" s="119"/>
      <x:c r="C117" s="119"/>
      <x:c r="D117" s="119"/>
      <x:c r="E117" s="119"/>
      <x:c r="F117" s="119"/>
      <x:c r="G117" s="119"/>
      <x:c r="H117" s="119"/>
      <x:c r="I117" s="119"/>
      <x:c r="J117" s="119"/>
      <x:c r="K117" s="119"/>
      <x:c r="L117" s="119"/>
      <x:c r="M117" s="119"/>
      <x:c r="N117" s="119"/>
      <x:c r="O117" s="119"/>
      <x:c r="P117" s="119"/>
    </x:row>
    <x:row r="118">
      <x:c r="A118" s="119"/>
      <x:c r="B118" s="119"/>
      <x:c r="C118" s="119"/>
      <x:c r="D118" s="119"/>
      <x:c r="E118" s="119"/>
      <x:c r="F118" s="119"/>
      <x:c r="G118" s="119"/>
      <x:c r="H118" s="119"/>
      <x:c r="I118" s="119"/>
      <x:c r="J118" s="119"/>
      <x:c r="K118" s="119"/>
      <x:c r="L118" s="119"/>
      <x:c r="M118" s="119"/>
      <x:c r="N118" s="119"/>
      <x:c r="O118" s="119"/>
      <x:c r="P118" s="119"/>
    </x:row>
    <x:row r="119">
      <x:c r="A119" s="119"/>
      <x:c r="B119" s="119"/>
      <x:c r="C119" s="119"/>
      <x:c r="D119" s="119"/>
      <x:c r="E119" s="119"/>
      <x:c r="F119" s="119"/>
      <x:c r="G119" s="119"/>
      <x:c r="H119" s="119"/>
      <x:c r="I119" s="119"/>
      <x:c r="J119" s="119"/>
      <x:c r="K119" s="119"/>
      <x:c r="L119" s="119"/>
      <x:c r="M119" s="119"/>
      <x:c r="N119" s="119"/>
      <x:c r="O119" s="119"/>
      <x:c r="P119" s="119"/>
    </x:row>
    <x:row r="120">
      <x:c r="A120" s="119"/>
      <x:c r="B120" s="119"/>
      <x:c r="C120" s="119"/>
      <x:c r="D120" s="119"/>
      <x:c r="E120" s="119"/>
      <x:c r="F120" s="119"/>
      <x:c r="G120" s="119"/>
      <x:c r="H120" s="119"/>
      <x:c r="I120" s="119"/>
      <x:c r="J120" s="119"/>
      <x:c r="K120" s="119"/>
      <x:c r="L120" s="119"/>
      <x:c r="M120" s="119"/>
      <x:c r="N120" s="119"/>
      <x:c r="O120" s="119"/>
      <x:c r="P120" s="119"/>
    </x:row>
    <x:row r="121">
      <x:c r="A121" s="119"/>
      <x:c r="B121" s="119"/>
      <x:c r="C121" s="119"/>
      <x:c r="D121" s="119"/>
      <x:c r="E121" s="119"/>
      <x:c r="F121" s="119"/>
      <x:c r="G121" s="119"/>
      <x:c r="H121" s="119"/>
      <x:c r="I121" s="119"/>
      <x:c r="J121" s="119"/>
      <x:c r="K121" s="119"/>
      <x:c r="L121" s="119"/>
      <x:c r="M121" s="119"/>
      <x:c r="N121" s="119"/>
      <x:c r="O121" s="119"/>
      <x:c r="P121" s="119"/>
    </x:row>
    <x:row r="122">
      <x:c r="A122" s="119"/>
      <x:c r="B122" s="119"/>
      <x:c r="C122" s="119"/>
      <x:c r="D122" s="119"/>
      <x:c r="E122" s="119"/>
      <x:c r="F122" s="119"/>
      <x:c r="G122" s="119"/>
      <x:c r="H122" s="119"/>
      <x:c r="I122" s="119"/>
      <x:c r="J122" s="119"/>
      <x:c r="K122" s="119"/>
      <x:c r="L122" s="119"/>
      <x:c r="M122" s="119"/>
      <x:c r="N122" s="119"/>
      <x:c r="O122" s="119"/>
      <x:c r="P122" s="119"/>
    </x:row>
    <x:row r="123">
      <x:c r="A123" s="119"/>
      <x:c r="B123" s="119"/>
      <x:c r="C123" s="119"/>
      <x:c r="D123" s="119"/>
      <x:c r="E123" s="119"/>
      <x:c r="F123" s="119"/>
      <x:c r="G123" s="119"/>
      <x:c r="H123" s="119"/>
      <x:c r="I123" s="119"/>
      <x:c r="J123" s="119"/>
      <x:c r="K123" s="119"/>
      <x:c r="L123" s="119"/>
      <x:c r="M123" s="119"/>
      <x:c r="N123" s="119"/>
      <x:c r="O123" s="119"/>
      <x:c r="P123" s="119"/>
    </x:row>
    <x:row r="124">
      <x:c r="A124" s="119"/>
      <x:c r="B124" s="119"/>
      <x:c r="C124" s="119"/>
      <x:c r="D124" s="119"/>
      <x:c r="E124" s="119"/>
      <x:c r="F124" s="119"/>
      <x:c r="G124" s="119"/>
      <x:c r="H124" s="119"/>
      <x:c r="I124" s="119"/>
      <x:c r="J124" s="119"/>
      <x:c r="K124" s="119"/>
      <x:c r="L124" s="119"/>
      <x:c r="M124" s="119"/>
      <x:c r="N124" s="119"/>
      <x:c r="O124" s="119"/>
      <x:c r="P124" s="119"/>
    </x:row>
    <x:row r="125">
      <x:c r="A125" s="119"/>
      <x:c r="B125" s="119"/>
      <x:c r="C125" s="119"/>
      <x:c r="D125" s="119"/>
      <x:c r="E125" s="119"/>
      <x:c r="F125" s="119"/>
      <x:c r="G125" s="119"/>
      <x:c r="H125" s="119"/>
      <x:c r="I125" s="119"/>
      <x:c r="J125" s="119"/>
      <x:c r="K125" s="119"/>
      <x:c r="L125" s="119"/>
      <x:c r="M125" s="119"/>
      <x:c r="N125" s="119"/>
      <x:c r="O125" s="119"/>
      <x:c r="P125" s="119"/>
    </x:row>
    <x:row r="126">
      <x:c r="A126" s="119"/>
      <x:c r="B126" s="119"/>
      <x:c r="C126" s="119"/>
      <x:c r="D126" s="119"/>
      <x:c r="E126" s="119"/>
      <x:c r="F126" s="119"/>
      <x:c r="G126" s="119"/>
      <x:c r="H126" s="119"/>
      <x:c r="I126" s="119"/>
      <x:c r="J126" s="119"/>
      <x:c r="K126" s="119"/>
      <x:c r="L126" s="119"/>
      <x:c r="M126" s="119"/>
      <x:c r="N126" s="119"/>
      <x:c r="O126" s="119"/>
      <x:c r="P126" s="119"/>
    </x:row>
    <x:row r="127">
      <x:c r="A127" s="119"/>
      <x:c r="B127" s="119"/>
      <x:c r="C127" s="119"/>
      <x:c r="D127" s="119"/>
      <x:c r="E127" s="119"/>
      <x:c r="F127" s="119"/>
      <x:c r="G127" s="119"/>
      <x:c r="H127" s="119"/>
      <x:c r="I127" s="119"/>
      <x:c r="J127" s="119"/>
      <x:c r="K127" s="119"/>
      <x:c r="L127" s="119"/>
      <x:c r="M127" s="119"/>
      <x:c r="N127" s="119"/>
      <x:c r="O127" s="119"/>
      <x:c r="P127" s="119"/>
    </x:row>
    <x:row r="128">
      <x:c r="A128" s="119"/>
      <x:c r="B128" s="119"/>
      <x:c r="C128" s="119"/>
      <x:c r="D128" s="119"/>
      <x:c r="E128" s="119"/>
      <x:c r="F128" s="119"/>
      <x:c r="G128" s="119"/>
      <x:c r="H128" s="119"/>
      <x:c r="I128" s="119"/>
      <x:c r="J128" s="119"/>
      <x:c r="K128" s="119"/>
      <x:c r="L128" s="119"/>
      <x:c r="M128" s="119"/>
      <x:c r="N128" s="119"/>
      <x:c r="O128" s="119"/>
      <x:c r="P128" s="119"/>
    </x:row>
    <x:row r="129">
      <x:c r="A129" s="119"/>
      <x:c r="B129" s="119"/>
      <x:c r="C129" s="119"/>
      <x:c r="D129" s="119"/>
      <x:c r="E129" s="119"/>
      <x:c r="F129" s="119"/>
      <x:c r="G129" s="119"/>
      <x:c r="H129" s="119"/>
      <x:c r="I129" s="119"/>
      <x:c r="J129" s="119"/>
      <x:c r="K129" s="119"/>
      <x:c r="L129" s="119"/>
      <x:c r="M129" s="119"/>
      <x:c r="N129" s="119"/>
      <x:c r="O129" s="119"/>
      <x:c r="P129" s="119"/>
    </x:row>
    <x:row r="130">
      <x:c r="A130" s="119"/>
      <x:c r="B130" s="119"/>
      <x:c r="C130" s="119"/>
      <x:c r="D130" s="119"/>
      <x:c r="E130" s="119"/>
      <x:c r="F130" s="119"/>
      <x:c r="G130" s="119"/>
      <x:c r="H130" s="119"/>
      <x:c r="I130" s="119"/>
      <x:c r="J130" s="119"/>
      <x:c r="K130" s="119"/>
      <x:c r="L130" s="119"/>
      <x:c r="M130" s="119"/>
      <x:c r="N130" s="119"/>
      <x:c r="O130" s="119"/>
      <x:c r="P130" s="119"/>
    </x:row>
    <x:row r="131">
      <x:c r="A131" s="119"/>
      <x:c r="B131" s="119"/>
      <x:c r="C131" s="119"/>
      <x:c r="D131" s="119"/>
      <x:c r="E131" s="119"/>
      <x:c r="F131" s="119"/>
      <x:c r="G131" s="119"/>
      <x:c r="H131" s="119"/>
      <x:c r="I131" s="119"/>
      <x:c r="J131" s="119"/>
      <x:c r="K131" s="119"/>
      <x:c r="L131" s="119"/>
      <x:c r="M131" s="119"/>
      <x:c r="N131" s="119"/>
      <x:c r="O131" s="119"/>
      <x:c r="P131" s="119"/>
    </x:row>
    <x:row r="132">
      <x:c r="A132" s="119"/>
      <x:c r="B132" s="119"/>
      <x:c r="C132" s="119"/>
      <x:c r="D132" s="119"/>
      <x:c r="E132" s="119"/>
      <x:c r="F132" s="119"/>
      <x:c r="G132" s="119"/>
      <x:c r="H132" s="119"/>
      <x:c r="I132" s="119"/>
      <x:c r="J132" s="119"/>
      <x:c r="K132" s="119"/>
      <x:c r="L132" s="119"/>
      <x:c r="M132" s="119"/>
      <x:c r="N132" s="119"/>
      <x:c r="O132" s="119"/>
      <x:c r="P132" s="119"/>
    </x:row>
    <x:row r="133">
      <x:c r="A133" s="119"/>
      <x:c r="B133" s="119"/>
      <x:c r="C133" s="119"/>
      <x:c r="D133" s="119"/>
      <x:c r="E133" s="119"/>
      <x:c r="F133" s="119"/>
      <x:c r="G133" s="119"/>
      <x:c r="H133" s="119"/>
      <x:c r="I133" s="119"/>
      <x:c r="J133" s="119"/>
      <x:c r="K133" s="119"/>
      <x:c r="L133" s="119"/>
      <x:c r="M133" s="119"/>
      <x:c r="N133" s="119"/>
      <x:c r="O133" s="119"/>
      <x:c r="P133" s="119"/>
    </x:row>
    <x:row r="134">
      <x:c r="A134" s="119"/>
      <x:c r="B134" s="119"/>
      <x:c r="C134" s="119"/>
      <x:c r="D134" s="119"/>
      <x:c r="E134" s="119"/>
      <x:c r="F134" s="119"/>
      <x:c r="G134" s="119"/>
      <x:c r="H134" s="119"/>
      <x:c r="I134" s="119"/>
      <x:c r="J134" s="119"/>
      <x:c r="K134" s="119"/>
      <x:c r="L134" s="119"/>
      <x:c r="M134" s="119"/>
      <x:c r="N134" s="119"/>
      <x:c r="O134" s="119"/>
      <x:c r="P134" s="119"/>
    </x:row>
    <x:row r="135">
      <x:c r="A135" s="119"/>
      <x:c r="B135" s="119"/>
      <x:c r="C135" s="119"/>
      <x:c r="D135" s="119"/>
      <x:c r="E135" s="119"/>
      <x:c r="F135" s="119"/>
      <x:c r="G135" s="119"/>
      <x:c r="H135" s="119"/>
      <x:c r="I135" s="119"/>
      <x:c r="J135" s="119"/>
      <x:c r="K135" s="119"/>
      <x:c r="L135" s="119"/>
      <x:c r="M135" s="119"/>
      <x:c r="N135" s="119"/>
      <x:c r="O135" s="119"/>
      <x:c r="P135" s="119"/>
    </x:row>
    <x:row r="136">
      <x:c r="A136" s="119"/>
      <x:c r="B136" s="119"/>
      <x:c r="C136" s="119"/>
      <x:c r="D136" s="119"/>
      <x:c r="E136" s="119"/>
      <x:c r="F136" s="119"/>
      <x:c r="G136" s="119"/>
      <x:c r="H136" s="119"/>
      <x:c r="I136" s="119"/>
      <x:c r="J136" s="119"/>
      <x:c r="K136" s="119"/>
      <x:c r="L136" s="119"/>
      <x:c r="M136" s="119"/>
      <x:c r="N136" s="119"/>
      <x:c r="O136" s="119"/>
      <x:c r="P136" s="119"/>
    </x:row>
    <x:row r="137">
      <x:c r="A137" s="119"/>
      <x:c r="B137" s="119"/>
      <x:c r="C137" s="119"/>
      <x:c r="D137" s="119"/>
      <x:c r="E137" s="119"/>
      <x:c r="F137" s="119"/>
      <x:c r="G137" s="119"/>
      <x:c r="H137" s="119"/>
      <x:c r="I137" s="119"/>
      <x:c r="J137" s="119"/>
      <x:c r="K137" s="119"/>
      <x:c r="L137" s="119"/>
      <x:c r="M137" s="119"/>
      <x:c r="N137" s="119"/>
      <x:c r="O137" s="119"/>
      <x:c r="P137" s="119"/>
    </x:row>
    <x:row r="138">
      <x:c r="A138" s="119"/>
      <x:c r="B138" s="119"/>
      <x:c r="C138" s="119"/>
      <x:c r="D138" s="119"/>
      <x:c r="E138" s="119"/>
      <x:c r="F138" s="119"/>
      <x:c r="G138" s="119"/>
      <x:c r="H138" s="119"/>
      <x:c r="I138" s="119"/>
      <x:c r="J138" s="119"/>
      <x:c r="K138" s="119"/>
      <x:c r="L138" s="119"/>
      <x:c r="M138" s="119"/>
      <x:c r="N138" s="119"/>
      <x:c r="O138" s="119"/>
      <x:c r="P138" s="119"/>
    </x:row>
    <x:row r="139">
      <x:c r="A139" s="119"/>
      <x:c r="B139" s="119"/>
      <x:c r="C139" s="119"/>
      <x:c r="D139" s="119"/>
      <x:c r="E139" s="119"/>
      <x:c r="F139" s="119"/>
      <x:c r="G139" s="119"/>
      <x:c r="H139" s="119"/>
      <x:c r="I139" s="119"/>
      <x:c r="J139" s="119"/>
      <x:c r="K139" s="119"/>
      <x:c r="L139" s="119"/>
      <x:c r="M139" s="119"/>
      <x:c r="N139" s="119"/>
      <x:c r="O139" s="119"/>
      <x:c r="P139" s="119"/>
    </x:row>
    <x:row r="140">
      <x:c r="A140" s="119"/>
      <x:c r="B140" s="119"/>
      <x:c r="C140" s="119"/>
      <x:c r="D140" s="119"/>
      <x:c r="E140" s="119"/>
      <x:c r="F140" s="119"/>
      <x:c r="G140" s="119"/>
      <x:c r="H140" s="119"/>
      <x:c r="I140" s="119"/>
      <x:c r="J140" s="119"/>
      <x:c r="K140" s="119"/>
      <x:c r="L140" s="119"/>
      <x:c r="M140" s="119"/>
      <x:c r="N140" s="119"/>
      <x:c r="O140" s="119"/>
      <x:c r="P140" s="119"/>
    </x:row>
    <x:row r="141">
      <x:c r="A141" s="119"/>
      <x:c r="B141" s="119"/>
      <x:c r="C141" s="119"/>
      <x:c r="D141" s="119"/>
      <x:c r="E141" s="119"/>
      <x:c r="F141" s="119"/>
      <x:c r="G141" s="119"/>
      <x:c r="H141" s="119"/>
      <x:c r="I141" s="119"/>
      <x:c r="J141" s="119"/>
      <x:c r="K141" s="119"/>
      <x:c r="L141" s="119"/>
      <x:c r="M141" s="119"/>
      <x:c r="N141" s="119"/>
      <x:c r="O141" s="119"/>
      <x:c r="P141" s="119"/>
    </x:row>
    <x:row r="142">
      <x:c r="A142" s="119"/>
      <x:c r="B142" s="119"/>
      <x:c r="C142" s="119"/>
      <x:c r="D142" s="119"/>
      <x:c r="E142" s="119"/>
      <x:c r="F142" s="119"/>
      <x:c r="G142" s="119"/>
      <x:c r="H142" s="119"/>
      <x:c r="I142" s="119"/>
      <x:c r="J142" s="119"/>
      <x:c r="K142" s="119"/>
      <x:c r="L142" s="119"/>
      <x:c r="M142" s="119"/>
      <x:c r="N142" s="119"/>
      <x:c r="O142" s="119"/>
      <x:c r="P142" s="119"/>
    </x:row>
    <x:row r="143">
      <x:c r="A143" s="119"/>
      <x:c r="B143" s="119"/>
      <x:c r="C143" s="119"/>
      <x:c r="D143" s="119"/>
      <x:c r="E143" s="119"/>
      <x:c r="F143" s="119"/>
      <x:c r="G143" s="119"/>
      <x:c r="H143" s="119"/>
      <x:c r="I143" s="119"/>
      <x:c r="J143" s="119"/>
      <x:c r="K143" s="119"/>
      <x:c r="L143" s="119"/>
      <x:c r="M143" s="119"/>
      <x:c r="N143" s="119"/>
      <x:c r="O143" s="119"/>
      <x:c r="P143" s="119"/>
    </x:row>
    <x:row r="144">
      <x:c r="A144" s="119"/>
      <x:c r="B144" s="119"/>
      <x:c r="C144" s="119"/>
      <x:c r="D144" s="119"/>
      <x:c r="E144" s="119"/>
      <x:c r="F144" s="119"/>
      <x:c r="G144" s="119"/>
      <x:c r="H144" s="119"/>
      <x:c r="I144" s="119"/>
      <x:c r="J144" s="119"/>
      <x:c r="K144" s="119"/>
      <x:c r="L144" s="119"/>
      <x:c r="M144" s="119"/>
      <x:c r="N144" s="119"/>
      <x:c r="O144" s="119"/>
      <x:c r="P144" s="119"/>
    </x:row>
    <x:row r="145">
      <x:c r="A145" s="119"/>
      <x:c r="B145" s="119"/>
      <x:c r="C145" s="119"/>
      <x:c r="D145" s="119"/>
      <x:c r="E145" s="119"/>
      <x:c r="F145" s="119"/>
      <x:c r="G145" s="119"/>
      <x:c r="H145" s="119"/>
      <x:c r="I145" s="119"/>
      <x:c r="J145" s="119"/>
      <x:c r="K145" s="119"/>
      <x:c r="L145" s="119"/>
      <x:c r="M145" s="119"/>
      <x:c r="N145" s="119"/>
      <x:c r="O145" s="119"/>
      <x:c r="P145" s="119"/>
    </x:row>
    <x:row r="146">
      <x:c r="A146" s="119"/>
      <x:c r="B146" s="119"/>
      <x:c r="C146" s="119"/>
      <x:c r="D146" s="119"/>
      <x:c r="E146" s="119"/>
      <x:c r="F146" s="119"/>
      <x:c r="G146" s="119"/>
      <x:c r="H146" s="119"/>
      <x:c r="I146" s="119"/>
      <x:c r="J146" s="119"/>
      <x:c r="K146" s="119"/>
      <x:c r="L146" s="119"/>
      <x:c r="M146" s="119"/>
      <x:c r="N146" s="119"/>
      <x:c r="O146" s="119"/>
      <x:c r="P146" s="119"/>
    </x:row>
    <x:row r="147">
      <x:c r="A147" s="119"/>
      <x:c r="B147" s="119"/>
      <x:c r="C147" s="119"/>
      <x:c r="D147" s="119"/>
      <x:c r="E147" s="119"/>
      <x:c r="F147" s="119"/>
      <x:c r="G147" s="119"/>
      <x:c r="H147" s="119"/>
      <x:c r="I147" s="119"/>
      <x:c r="J147" s="119"/>
      <x:c r="K147" s="119"/>
      <x:c r="L147" s="119"/>
      <x:c r="M147" s="119"/>
      <x:c r="N147" s="119"/>
      <x:c r="O147" s="119"/>
      <x:c r="P147" s="119"/>
    </x:row>
    <x:row r="148">
      <x:c r="A148" s="119"/>
      <x:c r="B148" s="119"/>
      <x:c r="C148" s="119"/>
      <x:c r="D148" s="119"/>
      <x:c r="E148" s="119"/>
      <x:c r="F148" s="119"/>
      <x:c r="G148" s="119"/>
      <x:c r="H148" s="119"/>
      <x:c r="I148" s="119"/>
      <x:c r="J148" s="119"/>
      <x:c r="K148" s="119"/>
      <x:c r="L148" s="119"/>
      <x:c r="M148" s="119"/>
      <x:c r="N148" s="119"/>
      <x:c r="O148" s="119"/>
      <x:c r="P148" s="119"/>
    </x:row>
    <x:row r="149">
      <x:c r="A149" s="119"/>
      <x:c r="B149" s="119"/>
      <x:c r="C149" s="119"/>
      <x:c r="D149" s="119"/>
      <x:c r="E149" s="119"/>
      <x:c r="F149" s="119"/>
      <x:c r="G149" s="119"/>
      <x:c r="H149" s="119"/>
      <x:c r="I149" s="119"/>
      <x:c r="J149" s="119"/>
      <x:c r="K149" s="119"/>
      <x:c r="L149" s="119"/>
      <x:c r="M149" s="119"/>
      <x:c r="N149" s="119"/>
      <x:c r="O149" s="119"/>
      <x:c r="P149" s="119"/>
    </x:row>
    <x:row r="150">
      <x:c r="A150" s="119"/>
      <x:c r="B150" s="119"/>
      <x:c r="C150" s="119"/>
      <x:c r="D150" s="119"/>
      <x:c r="E150" s="119"/>
      <x:c r="F150" s="119"/>
      <x:c r="G150" s="119"/>
      <x:c r="H150" s="119"/>
      <x:c r="I150" s="119"/>
      <x:c r="J150" s="119"/>
      <x:c r="K150" s="119"/>
      <x:c r="L150" s="119"/>
      <x:c r="M150" s="119"/>
      <x:c r="N150" s="119"/>
      <x:c r="O150" s="119"/>
      <x:c r="P150" s="119"/>
    </x:row>
    <x:row r="151">
      <x:c r="A151" s="119"/>
      <x:c r="B151" s="119"/>
      <x:c r="C151" s="119"/>
      <x:c r="D151" s="119"/>
      <x:c r="E151" s="119"/>
      <x:c r="F151" s="119"/>
      <x:c r="G151" s="119"/>
      <x:c r="H151" s="119"/>
      <x:c r="I151" s="119"/>
      <x:c r="J151" s="119"/>
      <x:c r="K151" s="119"/>
      <x:c r="L151" s="119"/>
      <x:c r="M151" s="119"/>
      <x:c r="N151" s="119"/>
      <x:c r="O151" s="119"/>
      <x:c r="P151" s="119"/>
    </x:row>
    <x:row r="152">
      <x:c r="A152" s="119"/>
      <x:c r="B152" s="119"/>
      <x:c r="C152" s="119"/>
      <x:c r="D152" s="119"/>
      <x:c r="E152" s="119"/>
      <x:c r="F152" s="119"/>
      <x:c r="G152" s="119"/>
      <x:c r="H152" s="119"/>
      <x:c r="I152" s="119"/>
      <x:c r="J152" s="119"/>
      <x:c r="K152" s="119"/>
      <x:c r="L152" s="119"/>
      <x:c r="M152" s="119"/>
      <x:c r="N152" s="119"/>
      <x:c r="O152" s="119"/>
      <x:c r="P152" s="119"/>
    </x:row>
    <x:row r="153">
      <x:c r="A153" s="119"/>
      <x:c r="B153" s="119"/>
      <x:c r="C153" s="119"/>
      <x:c r="D153" s="119"/>
      <x:c r="E153" s="119"/>
      <x:c r="F153" s="119"/>
      <x:c r="G153" s="119"/>
      <x:c r="H153" s="119"/>
      <x:c r="I153" s="119"/>
      <x:c r="J153" s="119"/>
      <x:c r="K153" s="119"/>
      <x:c r="L153" s="119"/>
      <x:c r="M153" s="119"/>
      <x:c r="N153" s="119"/>
      <x:c r="O153" s="119"/>
      <x:c r="P153" s="119"/>
    </x:row>
    <x:row r="154">
      <x:c r="A154" s="119"/>
      <x:c r="B154" s="119"/>
      <x:c r="C154" s="119"/>
      <x:c r="D154" s="119"/>
      <x:c r="E154" s="119"/>
      <x:c r="F154" s="119"/>
      <x:c r="G154" s="119"/>
      <x:c r="H154" s="119"/>
      <x:c r="I154" s="119"/>
      <x:c r="J154" s="119"/>
      <x:c r="K154" s="119"/>
      <x:c r="L154" s="119"/>
      <x:c r="M154" s="119"/>
      <x:c r="N154" s="119"/>
      <x:c r="O154" s="119"/>
      <x:c r="P154" s="119"/>
    </x:row>
    <x:row r="155">
      <x:c r="A155" s="119"/>
      <x:c r="B155" s="119"/>
      <x:c r="C155" s="119"/>
      <x:c r="D155" s="119"/>
      <x:c r="E155" s="119"/>
      <x:c r="F155" s="119"/>
      <x:c r="G155" s="119"/>
      <x:c r="H155" s="119"/>
      <x:c r="I155" s="119"/>
      <x:c r="J155" s="119"/>
      <x:c r="K155" s="119"/>
      <x:c r="L155" s="119"/>
      <x:c r="M155" s="119"/>
      <x:c r="N155" s="119"/>
      <x:c r="O155" s="119"/>
      <x:c r="P155" s="119"/>
    </x:row>
    <x:row r="156">
      <x:c r="A156" s="119"/>
      <x:c r="B156" s="119"/>
      <x:c r="C156" s="119"/>
      <x:c r="D156" s="119"/>
      <x:c r="E156" s="119"/>
      <x:c r="F156" s="119"/>
      <x:c r="G156" s="119"/>
      <x:c r="H156" s="119"/>
      <x:c r="I156" s="119"/>
      <x:c r="J156" s="119"/>
      <x:c r="K156" s="119"/>
      <x:c r="L156" s="119"/>
      <x:c r="M156" s="119"/>
      <x:c r="N156" s="119"/>
      <x:c r="O156" s="119"/>
      <x:c r="P156" s="119"/>
    </x:row>
    <x:row r="157">
      <x:c r="A157" s="119"/>
      <x:c r="B157" s="119"/>
      <x:c r="C157" s="119"/>
      <x:c r="D157" s="119"/>
      <x:c r="E157" s="119"/>
      <x:c r="F157" s="119"/>
      <x:c r="G157" s="119"/>
      <x:c r="H157" s="119"/>
      <x:c r="I157" s="119"/>
      <x:c r="J157" s="119"/>
      <x:c r="K157" s="119"/>
      <x:c r="L157" s="119"/>
      <x:c r="M157" s="119"/>
      <x:c r="N157" s="119"/>
      <x:c r="O157" s="119"/>
      <x:c r="P157" s="119"/>
    </x:row>
    <x:row r="158">
      <x:c r="A158" s="119"/>
      <x:c r="B158" s="119"/>
      <x:c r="C158" s="119"/>
      <x:c r="D158" s="119"/>
      <x:c r="E158" s="119"/>
      <x:c r="F158" s="119"/>
      <x:c r="G158" s="119"/>
      <x:c r="H158" s="119"/>
      <x:c r="I158" s="119"/>
      <x:c r="J158" s="119"/>
      <x:c r="K158" s="119"/>
      <x:c r="L158" s="119"/>
      <x:c r="M158" s="119"/>
      <x:c r="N158" s="119"/>
      <x:c r="O158" s="119"/>
      <x:c r="P158" s="119"/>
    </x:row>
    <x:row r="159">
      <x:c r="A159" s="119"/>
      <x:c r="B159" s="119"/>
      <x:c r="C159" s="119"/>
      <x:c r="D159" s="119"/>
      <x:c r="E159" s="119"/>
      <x:c r="F159" s="119"/>
      <x:c r="G159" s="119"/>
      <x:c r="H159" s="119"/>
      <x:c r="I159" s="119"/>
      <x:c r="J159" s="119"/>
      <x:c r="K159" s="119"/>
      <x:c r="L159" s="119"/>
      <x:c r="M159" s="119"/>
      <x:c r="N159" s="119"/>
      <x:c r="O159" s="119"/>
      <x:c r="P159" s="119"/>
    </x:row>
    <x:row r="160">
      <x:c r="A160" s="119"/>
      <x:c r="B160" s="119"/>
      <x:c r="C160" s="119"/>
      <x:c r="D160" s="119"/>
      <x:c r="E160" s="119"/>
      <x:c r="F160" s="119"/>
      <x:c r="G160" s="119"/>
      <x:c r="H160" s="119"/>
      <x:c r="I160" s="119"/>
      <x:c r="J160" s="119"/>
      <x:c r="K160" s="119"/>
      <x:c r="L160" s="119"/>
      <x:c r="M160" s="119"/>
      <x:c r="N160" s="119"/>
      <x:c r="O160" s="119"/>
      <x:c r="P160" s="119"/>
    </x:row>
    <x:row r="161">
      <x:c r="A161" s="119"/>
      <x:c r="B161" s="119"/>
      <x:c r="C161" s="119"/>
      <x:c r="D161" s="119"/>
      <x:c r="E161" s="119"/>
      <x:c r="F161" s="119"/>
      <x:c r="G161" s="119"/>
      <x:c r="H161" s="119"/>
      <x:c r="I161" s="119"/>
      <x:c r="J161" s="119"/>
      <x:c r="K161" s="119"/>
      <x:c r="L161" s="119"/>
      <x:c r="M161" s="119"/>
      <x:c r="N161" s="119"/>
      <x:c r="O161" s="119"/>
      <x:c r="P161" s="119"/>
    </x:row>
    <x:row r="162">
      <x:c r="A162" s="119"/>
      <x:c r="B162" s="119"/>
      <x:c r="C162" s="119"/>
      <x:c r="D162" s="119"/>
      <x:c r="E162" s="119"/>
      <x:c r="F162" s="119"/>
      <x:c r="G162" s="119"/>
      <x:c r="H162" s="119"/>
      <x:c r="I162" s="119"/>
      <x:c r="J162" s="119"/>
      <x:c r="K162" s="119"/>
      <x:c r="L162" s="119"/>
      <x:c r="M162" s="119"/>
      <x:c r="N162" s="119"/>
      <x:c r="O162" s="119"/>
      <x:c r="P162" s="119"/>
    </x:row>
    <x:row r="163">
      <x:c r="A163" s="119"/>
      <x:c r="B163" s="119"/>
      <x:c r="C163" s="119"/>
      <x:c r="D163" s="119"/>
      <x:c r="E163" s="119"/>
      <x:c r="F163" s="119"/>
      <x:c r="G163" s="119"/>
      <x:c r="H163" s="119"/>
      <x:c r="I163" s="119"/>
      <x:c r="J163" s="119"/>
      <x:c r="K163" s="119"/>
      <x:c r="L163" s="119"/>
      <x:c r="M163" s="119"/>
      <x:c r="N163" s="119"/>
      <x:c r="O163" s="119"/>
      <x:c r="P163" s="119"/>
    </x:row>
    <x:row r="164">
      <x:c r="A164" s="119"/>
      <x:c r="B164" s="119"/>
      <x:c r="C164" s="119"/>
      <x:c r="D164" s="119"/>
      <x:c r="E164" s="119"/>
      <x:c r="F164" s="119"/>
      <x:c r="G164" s="119"/>
      <x:c r="H164" s="119"/>
      <x:c r="I164" s="119"/>
      <x:c r="J164" s="119"/>
      <x:c r="K164" s="119"/>
      <x:c r="L164" s="119"/>
      <x:c r="M164" s="119"/>
      <x:c r="N164" s="119"/>
      <x:c r="O164" s="119"/>
      <x:c r="P164" s="119"/>
    </x:row>
    <x:row r="165">
      <x:c r="A165" s="119"/>
      <x:c r="B165" s="119"/>
      <x:c r="C165" s="119"/>
      <x:c r="D165" s="119"/>
      <x:c r="E165" s="119"/>
      <x:c r="F165" s="119"/>
      <x:c r="G165" s="119"/>
      <x:c r="H165" s="119"/>
      <x:c r="I165" s="119"/>
      <x:c r="J165" s="119"/>
      <x:c r="K165" s="119"/>
      <x:c r="L165" s="119"/>
      <x:c r="M165" s="119"/>
      <x:c r="N165" s="119"/>
      <x:c r="O165" s="119"/>
      <x:c r="P165" s="119"/>
    </x:row>
    <x:row r="166">
      <x:c r="A166" s="119"/>
      <x:c r="B166" s="119"/>
      <x:c r="C166" s="119"/>
      <x:c r="D166" s="119"/>
      <x:c r="E166" s="119"/>
      <x:c r="F166" s="119"/>
      <x:c r="G166" s="119"/>
      <x:c r="H166" s="119"/>
      <x:c r="I166" s="119"/>
      <x:c r="J166" s="119"/>
      <x:c r="K166" s="119"/>
      <x:c r="L166" s="119"/>
      <x:c r="M166" s="119"/>
      <x:c r="N166" s="119"/>
      <x:c r="O166" s="119"/>
      <x:c r="P166" s="119"/>
    </x:row>
    <x:row r="167">
      <x:c r="A167" s="119"/>
      <x:c r="B167" s="119"/>
      <x:c r="C167" s="119"/>
      <x:c r="D167" s="119"/>
      <x:c r="E167" s="119"/>
      <x:c r="F167" s="119"/>
      <x:c r="G167" s="119"/>
      <x:c r="H167" s="119"/>
      <x:c r="I167" s="119"/>
      <x:c r="J167" s="119"/>
      <x:c r="K167" s="119"/>
      <x:c r="L167" s="119"/>
      <x:c r="M167" s="119"/>
      <x:c r="N167" s="119"/>
      <x:c r="O167" s="119"/>
      <x:c r="P167" s="119"/>
    </x:row>
    <x:row r="168">
      <x:c r="A168" s="119"/>
      <x:c r="B168" s="119"/>
      <x:c r="C168" s="119"/>
      <x:c r="D168" s="119"/>
      <x:c r="E168" s="119"/>
      <x:c r="F168" s="119"/>
      <x:c r="G168" s="119"/>
      <x:c r="H168" s="119"/>
      <x:c r="I168" s="119"/>
      <x:c r="J168" s="119"/>
      <x:c r="K168" s="119"/>
      <x:c r="L168" s="119"/>
      <x:c r="M168" s="119"/>
      <x:c r="N168" s="119"/>
      <x:c r="O168" s="119"/>
      <x:c r="P168" s="119"/>
    </x:row>
    <x:row r="169">
      <x:c r="A169" s="119"/>
      <x:c r="B169" s="119"/>
      <x:c r="C169" s="119"/>
      <x:c r="D169" s="119"/>
      <x:c r="E169" s="119"/>
      <x:c r="F169" s="119"/>
      <x:c r="G169" s="119"/>
      <x:c r="H169" s="119"/>
      <x:c r="I169" s="119"/>
      <x:c r="J169" s="119"/>
      <x:c r="K169" s="119"/>
      <x:c r="L169" s="119"/>
      <x:c r="M169" s="119"/>
      <x:c r="N169" s="119"/>
      <x:c r="O169" s="119"/>
      <x:c r="P169" s="119"/>
    </x:row>
    <x:row r="170">
      <x:c r="A170" s="119"/>
      <x:c r="B170" s="119"/>
      <x:c r="C170" s="119"/>
      <x:c r="D170" s="119"/>
      <x:c r="E170" s="119"/>
      <x:c r="F170" s="119"/>
      <x:c r="G170" s="119"/>
      <x:c r="H170" s="119"/>
      <x:c r="I170" s="119"/>
      <x:c r="J170" s="119"/>
      <x:c r="K170" s="119"/>
      <x:c r="L170" s="119"/>
      <x:c r="M170" s="119"/>
      <x:c r="N170" s="119"/>
      <x:c r="O170" s="119"/>
      <x:c r="P170" s="119"/>
    </x:row>
    <x:row r="171">
      <x:c r="A171" s="119"/>
      <x:c r="B171" s="119"/>
      <x:c r="C171" s="119"/>
      <x:c r="D171" s="119"/>
      <x:c r="E171" s="119"/>
      <x:c r="F171" s="119"/>
      <x:c r="G171" s="119"/>
      <x:c r="H171" s="119"/>
      <x:c r="I171" s="119"/>
      <x:c r="J171" s="119"/>
      <x:c r="K171" s="119"/>
      <x:c r="L171" s="119"/>
      <x:c r="M171" s="119"/>
      <x:c r="N171" s="119"/>
      <x:c r="O171" s="119"/>
      <x:c r="P171" s="119"/>
    </x:row>
    <x:row r="172">
      <x:c r="A172" s="119"/>
      <x:c r="B172" s="119"/>
      <x:c r="C172" s="119"/>
      <x:c r="D172" s="119"/>
      <x:c r="E172" s="119"/>
      <x:c r="F172" s="119"/>
      <x:c r="G172" s="119"/>
      <x:c r="H172" s="119"/>
      <x:c r="I172" s="119"/>
      <x:c r="J172" s="119"/>
      <x:c r="K172" s="119"/>
      <x:c r="L172" s="119"/>
      <x:c r="M172" s="119"/>
      <x:c r="N172" s="119"/>
      <x:c r="O172" s="119"/>
      <x:c r="P172" s="119"/>
    </x:row>
    <x:row r="173">
      <x:c r="A173" s="119"/>
      <x:c r="B173" s="119"/>
      <x:c r="C173" s="119"/>
      <x:c r="D173" s="119"/>
      <x:c r="E173" s="119"/>
      <x:c r="F173" s="119"/>
      <x:c r="G173" s="119"/>
      <x:c r="H173" s="119"/>
      <x:c r="I173" s="119"/>
      <x:c r="J173" s="119"/>
      <x:c r="K173" s="119"/>
      <x:c r="L173" s="119"/>
      <x:c r="M173" s="119"/>
      <x:c r="N173" s="119"/>
      <x:c r="O173" s="119"/>
      <x:c r="P173" s="119"/>
    </x:row>
    <x:row r="174">
      <x:c r="A174" s="119"/>
      <x:c r="B174" s="119"/>
      <x:c r="C174" s="119"/>
      <x:c r="D174" s="119"/>
      <x:c r="E174" s="119"/>
      <x:c r="F174" s="119"/>
      <x:c r="G174" s="119"/>
      <x:c r="H174" s="119"/>
      <x:c r="I174" s="119"/>
      <x:c r="J174" s="119"/>
      <x:c r="K174" s="119"/>
      <x:c r="L174" s="119"/>
      <x:c r="M174" s="119"/>
      <x:c r="N174" s="119"/>
      <x:c r="O174" s="119"/>
      <x:c r="P174" s="119"/>
    </x:row>
    <x:row r="175">
      <x:c r="A175" s="119"/>
      <x:c r="B175" s="119"/>
      <x:c r="C175" s="119"/>
      <x:c r="D175" s="119"/>
      <x:c r="E175" s="119"/>
      <x:c r="F175" s="119"/>
      <x:c r="G175" s="119"/>
      <x:c r="H175" s="119"/>
      <x:c r="I175" s="119"/>
      <x:c r="J175" s="119"/>
      <x:c r="K175" s="119"/>
      <x:c r="L175" s="119"/>
      <x:c r="M175" s="119"/>
      <x:c r="N175" s="119"/>
      <x:c r="O175" s="119"/>
      <x:c r="P175" s="119"/>
    </x:row>
    <x:row r="176">
      <x:c r="A176" s="119"/>
      <x:c r="B176" s="119"/>
      <x:c r="C176" s="119"/>
      <x:c r="D176" s="119"/>
      <x:c r="E176" s="119"/>
      <x:c r="F176" s="119"/>
      <x:c r="G176" s="119"/>
      <x:c r="H176" s="119"/>
      <x:c r="I176" s="119"/>
      <x:c r="J176" s="119"/>
      <x:c r="K176" s="119"/>
      <x:c r="L176" s="119"/>
      <x:c r="M176" s="119"/>
      <x:c r="N176" s="119"/>
      <x:c r="O176" s="119"/>
      <x:c r="P176" s="119"/>
    </x:row>
    <x:row r="177">
      <x:c r="A177" s="119"/>
      <x:c r="B177" s="119"/>
      <x:c r="C177" s="119"/>
      <x:c r="D177" s="119"/>
      <x:c r="E177" s="119"/>
      <x:c r="F177" s="119"/>
      <x:c r="G177" s="119"/>
      <x:c r="H177" s="119"/>
      <x:c r="I177" s="119"/>
      <x:c r="J177" s="119"/>
      <x:c r="K177" s="119"/>
      <x:c r="L177" s="119"/>
      <x:c r="M177" s="119"/>
      <x:c r="N177" s="119"/>
      <x:c r="O177" s="119"/>
      <x:c r="P177" s="119"/>
    </x:row>
    <x:row r="178">
      <x:c r="A178" s="119"/>
      <x:c r="B178" s="119"/>
      <x:c r="C178" s="119"/>
      <x:c r="D178" s="119"/>
      <x:c r="E178" s="119"/>
      <x:c r="F178" s="119"/>
      <x:c r="G178" s="119"/>
      <x:c r="H178" s="119"/>
      <x:c r="I178" s="119"/>
      <x:c r="J178" s="119"/>
      <x:c r="K178" s="119"/>
      <x:c r="L178" s="119"/>
      <x:c r="M178" s="119"/>
      <x:c r="N178" s="119"/>
      <x:c r="O178" s="119"/>
      <x:c r="P178" s="119"/>
    </x:row>
    <x:row r="179">
      <x:c r="A179" s="119"/>
      <x:c r="B179" s="119"/>
      <x:c r="C179" s="119"/>
      <x:c r="D179" s="119"/>
      <x:c r="E179" s="119"/>
      <x:c r="F179" s="119"/>
      <x:c r="G179" s="119"/>
      <x:c r="H179" s="119"/>
      <x:c r="I179" s="119"/>
      <x:c r="J179" s="119"/>
      <x:c r="K179" s="119"/>
      <x:c r="L179" s="119"/>
      <x:c r="M179" s="119"/>
      <x:c r="N179" s="119"/>
      <x:c r="O179" s="119"/>
      <x:c r="P179" s="119"/>
    </x:row>
    <x:row r="180">
      <x:c r="A180" s="119"/>
      <x:c r="B180" s="119"/>
      <x:c r="C180" s="119"/>
      <x:c r="D180" s="119"/>
      <x:c r="E180" s="119"/>
      <x:c r="F180" s="119"/>
      <x:c r="G180" s="119"/>
      <x:c r="H180" s="119"/>
      <x:c r="I180" s="119"/>
      <x:c r="J180" s="119"/>
      <x:c r="K180" s="119"/>
      <x:c r="L180" s="119"/>
      <x:c r="M180" s="119"/>
      <x:c r="N180" s="119"/>
      <x:c r="O180" s="119"/>
      <x:c r="P180" s="119"/>
    </x:row>
    <x:row r="181">
      <x:c r="A181" s="119"/>
      <x:c r="B181" s="119"/>
      <x:c r="C181" s="119"/>
      <x:c r="D181" s="119"/>
      <x:c r="E181" s="119"/>
      <x:c r="F181" s="119"/>
      <x:c r="G181" s="119"/>
      <x:c r="H181" s="119"/>
      <x:c r="I181" s="119"/>
      <x:c r="J181" s="119"/>
      <x:c r="K181" s="119"/>
      <x:c r="L181" s="119"/>
      <x:c r="M181" s="119"/>
      <x:c r="N181" s="119"/>
      <x:c r="O181" s="119"/>
      <x:c r="P181" s="119"/>
    </x:row>
    <x:row r="182">
      <x:c r="A182" s="119"/>
      <x:c r="B182" s="119"/>
      <x:c r="C182" s="119"/>
      <x:c r="D182" s="119"/>
      <x:c r="E182" s="119"/>
      <x:c r="F182" s="119"/>
      <x:c r="G182" s="119"/>
      <x:c r="H182" s="119"/>
      <x:c r="I182" s="119"/>
      <x:c r="J182" s="119"/>
      <x:c r="K182" s="119"/>
      <x:c r="L182" s="119"/>
      <x:c r="M182" s="119"/>
      <x:c r="N182" s="119"/>
      <x:c r="O182" s="119"/>
      <x:c r="P182" s="119"/>
    </x:row>
    <x:row r="183">
      <x:c r="A183" s="119"/>
      <x:c r="B183" s="119"/>
      <x:c r="C183" s="119"/>
      <x:c r="D183" s="119"/>
      <x:c r="E183" s="119"/>
      <x:c r="F183" s="119"/>
      <x:c r="G183" s="119"/>
      <x:c r="H183" s="119"/>
      <x:c r="I183" s="119"/>
      <x:c r="J183" s="119"/>
      <x:c r="K183" s="119"/>
      <x:c r="L183" s="119"/>
      <x:c r="M183" s="119"/>
      <x:c r="N183" s="119"/>
      <x:c r="O183" s="119"/>
      <x:c r="P183" s="119"/>
    </x:row>
    <x:row r="184">
      <x:c r="A184" s="119"/>
      <x:c r="B184" s="119"/>
      <x:c r="C184" s="119"/>
      <x:c r="D184" s="119"/>
      <x:c r="E184" s="119"/>
      <x:c r="F184" s="119"/>
      <x:c r="G184" s="119"/>
      <x:c r="H184" s="119"/>
      <x:c r="I184" s="119"/>
      <x:c r="J184" s="119"/>
      <x:c r="K184" s="119"/>
      <x:c r="L184" s="119"/>
      <x:c r="M184" s="119"/>
      <x:c r="N184" s="119"/>
      <x:c r="O184" s="119"/>
      <x:c r="P184" s="119"/>
    </x:row>
    <x:row r="185">
      <x:c r="A185" s="119"/>
      <x:c r="B185" s="119"/>
      <x:c r="C185" s="119"/>
      <x:c r="D185" s="119"/>
      <x:c r="E185" s="119"/>
      <x:c r="F185" s="119"/>
      <x:c r="G185" s="119"/>
      <x:c r="H185" s="119"/>
      <x:c r="I185" s="119"/>
      <x:c r="J185" s="119"/>
      <x:c r="K185" s="119"/>
      <x:c r="L185" s="119"/>
      <x:c r="M185" s="119"/>
      <x:c r="N185" s="119"/>
      <x:c r="O185" s="119"/>
      <x:c r="P185" s="119"/>
    </x:row>
    <x:row r="186">
      <x:c r="A186" s="119"/>
      <x:c r="B186" s="119"/>
      <x:c r="C186" s="119"/>
      <x:c r="D186" s="119"/>
      <x:c r="E186" s="119"/>
      <x:c r="F186" s="119"/>
      <x:c r="G186" s="119"/>
      <x:c r="H186" s="119"/>
      <x:c r="I186" s="119"/>
      <x:c r="J186" s="119"/>
      <x:c r="K186" s="119"/>
      <x:c r="L186" s="119"/>
      <x:c r="M186" s="119"/>
      <x:c r="N186" s="119"/>
      <x:c r="O186" s="119"/>
      <x:c r="P186" s="119"/>
    </x:row>
    <x:row r="187">
      <x:c r="A187" s="119"/>
      <x:c r="B187" s="119"/>
      <x:c r="C187" s="119"/>
      <x:c r="D187" s="119"/>
      <x:c r="E187" s="119"/>
      <x:c r="F187" s="119"/>
      <x:c r="G187" s="119"/>
      <x:c r="H187" s="119"/>
      <x:c r="I187" s="119"/>
      <x:c r="J187" s="119"/>
      <x:c r="K187" s="119"/>
      <x:c r="L187" s="119"/>
      <x:c r="M187" s="119"/>
      <x:c r="N187" s="119"/>
      <x:c r="O187" s="119"/>
      <x:c r="P187" s="119"/>
    </x:row>
    <x:row r="188">
      <x:c r="A188" s="119"/>
      <x:c r="B188" s="119"/>
      <x:c r="C188" s="119"/>
      <x:c r="D188" s="119"/>
      <x:c r="E188" s="119"/>
      <x:c r="F188" s="119"/>
      <x:c r="G188" s="119"/>
      <x:c r="H188" s="119"/>
      <x:c r="I188" s="119"/>
      <x:c r="J188" s="119"/>
      <x:c r="K188" s="119"/>
      <x:c r="L188" s="119"/>
      <x:c r="M188" s="119"/>
      <x:c r="N188" s="119"/>
      <x:c r="O188" s="119"/>
      <x:c r="P188" s="119"/>
    </x:row>
    <x:row r="189">
      <x:c r="A189" s="119"/>
      <x:c r="B189" s="119"/>
      <x:c r="C189" s="119"/>
      <x:c r="D189" s="119"/>
      <x:c r="E189" s="119"/>
      <x:c r="F189" s="119"/>
      <x:c r="G189" s="119"/>
      <x:c r="H189" s="119"/>
      <x:c r="I189" s="119"/>
      <x:c r="J189" s="119"/>
      <x:c r="K189" s="119"/>
      <x:c r="L189" s="119"/>
      <x:c r="M189" s="119"/>
      <x:c r="N189" s="119"/>
      <x:c r="O189" s="119"/>
      <x:c r="P189" s="119"/>
    </x:row>
    <x:row r="190">
      <x:c r="A190" s="119"/>
      <x:c r="B190" s="119"/>
      <x:c r="C190" s="119"/>
      <x:c r="D190" s="119"/>
      <x:c r="E190" s="119"/>
      <x:c r="F190" s="119"/>
      <x:c r="G190" s="119"/>
      <x:c r="H190" s="119"/>
      <x:c r="I190" s="119"/>
      <x:c r="J190" s="119"/>
      <x:c r="K190" s="119"/>
      <x:c r="L190" s="119"/>
      <x:c r="M190" s="119"/>
      <x:c r="N190" s="119"/>
      <x:c r="O190" s="119"/>
      <x:c r="P190" s="119"/>
    </x:row>
    <x:row r="191">
      <x:c r="A191" s="119"/>
      <x:c r="B191" s="119"/>
      <x:c r="C191" s="119"/>
      <x:c r="D191" s="119"/>
      <x:c r="E191" s="119"/>
      <x:c r="F191" s="119"/>
      <x:c r="G191" s="119"/>
      <x:c r="H191" s="119"/>
      <x:c r="I191" s="119"/>
      <x:c r="J191" s="119"/>
      <x:c r="K191" s="119"/>
      <x:c r="L191" s="119"/>
      <x:c r="M191" s="119"/>
      <x:c r="N191" s="119"/>
      <x:c r="O191" s="119"/>
      <x:c r="P191" s="119"/>
    </x:row>
    <x:row r="192">
      <x:c r="A192" s="119"/>
      <x:c r="B192" s="119"/>
      <x:c r="C192" s="119"/>
      <x:c r="D192" s="119"/>
      <x:c r="E192" s="119"/>
      <x:c r="F192" s="119"/>
      <x:c r="G192" s="119"/>
      <x:c r="H192" s="119"/>
      <x:c r="I192" s="119"/>
      <x:c r="J192" s="119"/>
      <x:c r="K192" s="119"/>
      <x:c r="L192" s="119"/>
      <x:c r="M192" s="119"/>
      <x:c r="N192" s="119"/>
      <x:c r="O192" s="119"/>
      <x:c r="P192" s="119"/>
    </x:row>
    <x:row r="193">
      <x:c r="A193" s="119"/>
      <x:c r="B193" s="119"/>
      <x:c r="C193" s="119"/>
      <x:c r="D193" s="119"/>
      <x:c r="E193" s="119"/>
      <x:c r="F193" s="119"/>
      <x:c r="G193" s="119"/>
      <x:c r="H193" s="119"/>
      <x:c r="I193" s="119"/>
      <x:c r="J193" s="119"/>
      <x:c r="K193" s="119"/>
      <x:c r="L193" s="119"/>
      <x:c r="M193" s="119"/>
      <x:c r="N193" s="119"/>
      <x:c r="O193" s="119"/>
      <x:c r="P193" s="119"/>
    </x:row>
    <x:row r="194">
      <x:c r="A194" s="119"/>
      <x:c r="B194" s="119"/>
      <x:c r="C194" s="119"/>
      <x:c r="D194" s="119"/>
      <x:c r="E194" s="119"/>
      <x:c r="F194" s="119"/>
      <x:c r="G194" s="119"/>
      <x:c r="H194" s="119"/>
      <x:c r="I194" s="119"/>
      <x:c r="J194" s="119"/>
      <x:c r="K194" s="119"/>
      <x:c r="L194" s="119"/>
      <x:c r="M194" s="119"/>
      <x:c r="N194" s="119"/>
      <x:c r="O194" s="119"/>
      <x:c r="P194" s="119"/>
    </x:row>
    <x:row r="195">
      <x:c r="A195" s="119"/>
      <x:c r="B195" s="119"/>
      <x:c r="C195" s="119"/>
      <x:c r="D195" s="119"/>
      <x:c r="E195" s="119"/>
      <x:c r="F195" s="119"/>
      <x:c r="G195" s="119"/>
      <x:c r="H195" s="119"/>
      <x:c r="I195" s="119"/>
      <x:c r="J195" s="119"/>
      <x:c r="K195" s="119"/>
      <x:c r="L195" s="119"/>
      <x:c r="M195" s="119"/>
      <x:c r="N195" s="119"/>
      <x:c r="O195" s="119"/>
      <x:c r="P195" s="119"/>
    </x:row>
    <x:row r="196">
      <x:c r="A196" s="119"/>
      <x:c r="B196" s="119"/>
      <x:c r="C196" s="119"/>
      <x:c r="D196" s="119"/>
      <x:c r="E196" s="119"/>
      <x:c r="F196" s="119"/>
      <x:c r="G196" s="119"/>
      <x:c r="H196" s="119"/>
      <x:c r="I196" s="119"/>
      <x:c r="J196" s="119"/>
      <x:c r="K196" s="119"/>
      <x:c r="L196" s="119"/>
      <x:c r="M196" s="119"/>
      <x:c r="N196" s="119"/>
      <x:c r="O196" s="119"/>
      <x:c r="P196" s="119"/>
    </x:row>
    <x:row r="197">
      <x:c r="A197" s="119"/>
      <x:c r="B197" s="119"/>
      <x:c r="C197" s="119"/>
      <x:c r="D197" s="119"/>
      <x:c r="E197" s="119"/>
      <x:c r="F197" s="119"/>
      <x:c r="G197" s="119"/>
      <x:c r="H197" s="119"/>
      <x:c r="I197" s="119"/>
      <x:c r="J197" s="119"/>
      <x:c r="K197" s="119"/>
      <x:c r="L197" s="119"/>
      <x:c r="M197" s="119"/>
      <x:c r="N197" s="119"/>
      <x:c r="O197" s="119"/>
      <x:c r="P197" s="119"/>
    </x:row>
    <x:row r="198">
      <x:c r="A198" s="119"/>
      <x:c r="B198" s="119"/>
      <x:c r="C198" s="119"/>
      <x:c r="D198" s="119"/>
      <x:c r="E198" s="119"/>
      <x:c r="F198" s="119"/>
      <x:c r="G198" s="119"/>
      <x:c r="H198" s="119"/>
      <x:c r="I198" s="119"/>
      <x:c r="J198" s="119"/>
      <x:c r="K198" s="119"/>
      <x:c r="L198" s="119"/>
      <x:c r="M198" s="119"/>
      <x:c r="N198" s="119"/>
      <x:c r="O198" s="119"/>
      <x:c r="P198" s="119"/>
    </x:row>
    <x:row r="199">
      <x:c r="A199" s="119"/>
      <x:c r="B199" s="119"/>
      <x:c r="C199" s="119"/>
      <x:c r="D199" s="119"/>
      <x:c r="E199" s="119"/>
      <x:c r="F199" s="119"/>
      <x:c r="G199" s="119"/>
      <x:c r="H199" s="119"/>
      <x:c r="I199" s="119"/>
      <x:c r="J199" s="119"/>
      <x:c r="K199" s="119"/>
      <x:c r="L199" s="119"/>
      <x:c r="M199" s="119"/>
      <x:c r="N199" s="119"/>
      <x:c r="O199" s="119"/>
      <x:c r="P199" s="119"/>
    </x:row>
    <x:row r="200">
      <x:c r="A200" s="119"/>
      <x:c r="B200" s="119"/>
      <x:c r="C200" s="119"/>
      <x:c r="D200" s="119"/>
      <x:c r="E200" s="119"/>
      <x:c r="F200" s="119"/>
      <x:c r="G200" s="119"/>
      <x:c r="H200" s="119"/>
      <x:c r="I200" s="119"/>
      <x:c r="J200" s="119"/>
      <x:c r="K200" s="119"/>
      <x:c r="L200" s="119"/>
      <x:c r="M200" s="119"/>
      <x:c r="N200" s="119"/>
      <x:c r="O200" s="119"/>
      <x:c r="P200" s="119"/>
    </x:row>
    <x:row r="201">
      <x:c r="A201" s="119"/>
      <x:c r="B201" s="119"/>
      <x:c r="C201" s="119"/>
      <x:c r="D201" s="119"/>
      <x:c r="E201" s="119"/>
      <x:c r="F201" s="119"/>
      <x:c r="G201" s="119"/>
      <x:c r="H201" s="119"/>
      <x:c r="I201" s="119"/>
      <x:c r="J201" s="119"/>
      <x:c r="K201" s="119"/>
      <x:c r="L201" s="119"/>
      <x:c r="M201" s="119"/>
      <x:c r="N201" s="119"/>
      <x:c r="O201" s="119"/>
      <x:c r="P201" s="119"/>
    </x:row>
    <x:row r="202">
      <x:c r="A202" s="119"/>
      <x:c r="B202" s="119"/>
      <x:c r="C202" s="119"/>
      <x:c r="D202" s="119"/>
      <x:c r="E202" s="119"/>
      <x:c r="F202" s="119"/>
      <x:c r="G202" s="119"/>
      <x:c r="H202" s="119"/>
      <x:c r="I202" s="119"/>
      <x:c r="J202" s="119"/>
      <x:c r="K202" s="119"/>
      <x:c r="L202" s="119"/>
      <x:c r="M202" s="119"/>
      <x:c r="N202" s="119"/>
      <x:c r="O202" s="119"/>
      <x:c r="P202" s="119"/>
    </x:row>
    <x:row r="203">
      <x:c r="A203" s="119"/>
      <x:c r="B203" s="119"/>
      <x:c r="C203" s="119"/>
      <x:c r="D203" s="119"/>
      <x:c r="E203" s="119"/>
      <x:c r="F203" s="119"/>
      <x:c r="G203" s="119"/>
      <x:c r="H203" s="119"/>
      <x:c r="I203" s="119"/>
      <x:c r="J203" s="119"/>
      <x:c r="K203" s="119"/>
      <x:c r="L203" s="119"/>
      <x:c r="M203" s="119"/>
      <x:c r="N203" s="119"/>
      <x:c r="O203" s="119"/>
      <x:c r="P203" s="119"/>
    </x:row>
    <x:row r="204">
      <x:c r="A204" s="119"/>
      <x:c r="B204" s="119"/>
      <x:c r="C204" s="119"/>
      <x:c r="D204" s="119"/>
      <x:c r="E204" s="119"/>
      <x:c r="F204" s="119"/>
      <x:c r="G204" s="119"/>
      <x:c r="H204" s="119"/>
      <x:c r="I204" s="119"/>
      <x:c r="J204" s="119"/>
      <x:c r="K204" s="119"/>
      <x:c r="L204" s="119"/>
      <x:c r="M204" s="119"/>
      <x:c r="N204" s="119"/>
      <x:c r="O204" s="119"/>
      <x:c r="P204" s="119"/>
    </x:row>
    <x:row r="205">
      <x:c r="A205" s="119"/>
      <x:c r="B205" s="119"/>
      <x:c r="C205" s="119"/>
      <x:c r="D205" s="119"/>
      <x:c r="E205" s="119"/>
      <x:c r="F205" s="119"/>
      <x:c r="G205" s="119"/>
      <x:c r="H205" s="119"/>
      <x:c r="I205" s="119"/>
      <x:c r="J205" s="119"/>
      <x:c r="K205" s="119"/>
      <x:c r="L205" s="119"/>
      <x:c r="M205" s="119"/>
      <x:c r="N205" s="119"/>
      <x:c r="O205" s="119"/>
      <x:c r="P205" s="119"/>
    </x:row>
    <x:row r="206">
      <x:c r="A206" s="119"/>
      <x:c r="B206" s="119"/>
      <x:c r="C206" s="119"/>
      <x:c r="D206" s="119"/>
      <x:c r="E206" s="119"/>
      <x:c r="F206" s="119"/>
      <x:c r="G206" s="119"/>
      <x:c r="H206" s="119"/>
      <x:c r="I206" s="119"/>
      <x:c r="J206" s="119"/>
      <x:c r="K206" s="119"/>
      <x:c r="L206" s="119"/>
      <x:c r="M206" s="119"/>
      <x:c r="N206" s="119"/>
      <x:c r="O206" s="119"/>
      <x:c r="P206" s="119"/>
    </x:row>
    <x:row r="207">
      <x:c r="A207" s="119"/>
      <x:c r="B207" s="119"/>
      <x:c r="C207" s="119"/>
      <x:c r="D207" s="119"/>
      <x:c r="E207" s="119"/>
      <x:c r="F207" s="119"/>
      <x:c r="G207" s="119"/>
      <x:c r="H207" s="119"/>
      <x:c r="I207" s="119"/>
      <x:c r="J207" s="119"/>
      <x:c r="K207" s="119"/>
      <x:c r="L207" s="119"/>
      <x:c r="M207" s="119"/>
      <x:c r="N207" s="119"/>
      <x:c r="O207" s="119"/>
      <x:c r="P207" s="119"/>
    </x:row>
    <x:row r="208">
      <x:c r="A208" s="119"/>
      <x:c r="B208" s="119"/>
      <x:c r="C208" s="119"/>
      <x:c r="D208" s="119"/>
      <x:c r="E208" s="119"/>
      <x:c r="F208" s="119"/>
      <x:c r="G208" s="119"/>
      <x:c r="H208" s="119"/>
      <x:c r="I208" s="119"/>
      <x:c r="J208" s="119"/>
      <x:c r="K208" s="119"/>
      <x:c r="L208" s="119"/>
      <x:c r="M208" s="119"/>
      <x:c r="N208" s="119"/>
      <x:c r="O208" s="119"/>
      <x:c r="P208" s="119"/>
    </x:row>
    <x:row r="209">
      <x:c r="A209" s="119"/>
      <x:c r="B209" s="119"/>
      <x:c r="C209" s="119"/>
      <x:c r="D209" s="119"/>
      <x:c r="E209" s="119"/>
      <x:c r="F209" s="119"/>
      <x:c r="G209" s="119"/>
      <x:c r="H209" s="119"/>
      <x:c r="I209" s="119"/>
      <x:c r="J209" s="119"/>
      <x:c r="K209" s="119"/>
      <x:c r="L209" s="119"/>
      <x:c r="M209" s="119"/>
      <x:c r="N209" s="119"/>
      <x:c r="O209" s="119"/>
      <x:c r="P209" s="119"/>
    </x:row>
    <x:row r="210">
      <x:c r="A210" s="119"/>
      <x:c r="B210" s="119"/>
      <x:c r="C210" s="119"/>
      <x:c r="D210" s="119"/>
      <x:c r="E210" s="119"/>
      <x:c r="F210" s="119"/>
      <x:c r="G210" s="119"/>
      <x:c r="H210" s="119"/>
      <x:c r="I210" s="119"/>
      <x:c r="J210" s="119"/>
      <x:c r="K210" s="119"/>
      <x:c r="L210" s="119"/>
      <x:c r="M210" s="119"/>
      <x:c r="N210" s="119"/>
      <x:c r="O210" s="119"/>
      <x:c r="P210" s="119"/>
    </x:row>
    <x:row r="211">
      <x:c r="A211" s="119"/>
      <x:c r="B211" s="119"/>
      <x:c r="C211" s="119"/>
      <x:c r="D211" s="119"/>
      <x:c r="E211" s="119"/>
      <x:c r="F211" s="119"/>
      <x:c r="G211" s="119"/>
      <x:c r="H211" s="119"/>
      <x:c r="I211" s="119"/>
      <x:c r="J211" s="119"/>
      <x:c r="K211" s="119"/>
      <x:c r="L211" s="119"/>
      <x:c r="M211" s="119"/>
      <x:c r="N211" s="119"/>
      <x:c r="O211" s="119"/>
      <x:c r="P211" s="119"/>
    </x:row>
    <x:row r="212">
      <x:c r="A212" s="119"/>
      <x:c r="B212" s="119"/>
      <x:c r="C212" s="119"/>
      <x:c r="D212" s="119"/>
      <x:c r="E212" s="119"/>
      <x:c r="F212" s="119"/>
      <x:c r="G212" s="119"/>
      <x:c r="H212" s="119"/>
      <x:c r="I212" s="119"/>
      <x:c r="J212" s="119"/>
      <x:c r="K212" s="119"/>
      <x:c r="L212" s="119"/>
      <x:c r="M212" s="119"/>
      <x:c r="N212" s="119"/>
      <x:c r="O212" s="119"/>
      <x:c r="P212" s="119"/>
    </x:row>
    <x:row r="213">
      <x:c r="A213" s="119"/>
      <x:c r="B213" s="119"/>
      <x:c r="C213" s="119"/>
      <x:c r="D213" s="119"/>
      <x:c r="E213" s="119"/>
      <x:c r="F213" s="119"/>
      <x:c r="G213" s="119"/>
      <x:c r="H213" s="119"/>
      <x:c r="I213" s="119"/>
      <x:c r="J213" s="119"/>
      <x:c r="K213" s="119"/>
      <x:c r="L213" s="119"/>
      <x:c r="M213" s="119"/>
      <x:c r="N213" s="119"/>
      <x:c r="O213" s="119"/>
      <x:c r="P213" s="119"/>
    </x:row>
    <x:row r="214">
      <x:c r="A214" s="119"/>
      <x:c r="B214" s="119"/>
      <x:c r="C214" s="119"/>
      <x:c r="D214" s="119"/>
      <x:c r="E214" s="119"/>
      <x:c r="F214" s="119"/>
      <x:c r="G214" s="119"/>
      <x:c r="H214" s="119"/>
      <x:c r="I214" s="119"/>
      <x:c r="J214" s="119"/>
      <x:c r="K214" s="119"/>
      <x:c r="L214" s="119"/>
      <x:c r="M214" s="119"/>
      <x:c r="N214" s="119"/>
      <x:c r="O214" s="119"/>
      <x:c r="P214" s="119"/>
    </x:row>
    <x:row r="215">
      <x:c r="A215" s="119"/>
      <x:c r="B215" s="119"/>
      <x:c r="C215" s="119"/>
      <x:c r="D215" s="119"/>
      <x:c r="E215" s="119"/>
      <x:c r="F215" s="119"/>
      <x:c r="G215" s="119"/>
      <x:c r="H215" s="119"/>
      <x:c r="I215" s="119"/>
      <x:c r="J215" s="119"/>
      <x:c r="K215" s="119"/>
      <x:c r="L215" s="119"/>
      <x:c r="M215" s="119"/>
      <x:c r="N215" s="119"/>
      <x:c r="O215" s="119"/>
      <x:c r="P215" s="119"/>
    </x:row>
    <x:row r="216">
      <x:c r="A216" s="119"/>
      <x:c r="B216" s="119"/>
      <x:c r="C216" s="119"/>
      <x:c r="D216" s="119"/>
      <x:c r="E216" s="119"/>
      <x:c r="F216" s="119"/>
      <x:c r="G216" s="119"/>
      <x:c r="H216" s="119"/>
      <x:c r="I216" s="119"/>
      <x:c r="J216" s="119"/>
      <x:c r="K216" s="119"/>
      <x:c r="L216" s="119"/>
      <x:c r="M216" s="119"/>
      <x:c r="N216" s="119"/>
      <x:c r="O216" s="119"/>
      <x:c r="P216" s="119"/>
    </x:row>
    <x:row r="217">
      <x:c r="A217" s="119"/>
      <x:c r="B217" s="119"/>
      <x:c r="C217" s="119"/>
      <x:c r="D217" s="119"/>
      <x:c r="E217" s="119"/>
      <x:c r="F217" s="119"/>
      <x:c r="G217" s="119"/>
      <x:c r="H217" s="119"/>
      <x:c r="I217" s="119"/>
      <x:c r="J217" s="119"/>
      <x:c r="K217" s="119"/>
      <x:c r="L217" s="119"/>
      <x:c r="M217" s="119"/>
      <x:c r="N217" s="119"/>
      <x:c r="O217" s="119"/>
      <x:c r="P217" s="119"/>
    </x:row>
    <x:row r="218">
      <x:c r="A218" s="119"/>
      <x:c r="B218" s="119"/>
      <x:c r="C218" s="119"/>
      <x:c r="D218" s="119"/>
      <x:c r="E218" s="119"/>
      <x:c r="F218" s="119"/>
      <x:c r="G218" s="119"/>
      <x:c r="H218" s="119"/>
      <x:c r="I218" s="119"/>
      <x:c r="J218" s="119"/>
      <x:c r="K218" s="119"/>
      <x:c r="L218" s="119"/>
      <x:c r="M218" s="119"/>
      <x:c r="N218" s="119"/>
      <x:c r="O218" s="119"/>
      <x:c r="P218" s="119"/>
    </x:row>
    <x:row r="219">
      <x:c r="A219" s="119"/>
      <x:c r="B219" s="119"/>
      <x:c r="C219" s="119"/>
      <x:c r="D219" s="119"/>
      <x:c r="E219" s="119"/>
      <x:c r="F219" s="119"/>
      <x:c r="G219" s="119"/>
      <x:c r="H219" s="119"/>
      <x:c r="I219" s="119"/>
      <x:c r="J219" s="119"/>
      <x:c r="K219" s="119"/>
      <x:c r="L219" s="119"/>
      <x:c r="M219" s="119"/>
      <x:c r="N219" s="119"/>
      <x:c r="O219" s="119"/>
      <x:c r="P219" s="119"/>
    </x:row>
    <x:row r="220">
      <x:c r="A220" s="119"/>
      <x:c r="B220" s="119"/>
      <x:c r="C220" s="119"/>
      <x:c r="D220" s="119"/>
      <x:c r="E220" s="119"/>
      <x:c r="F220" s="119"/>
      <x:c r="G220" s="119"/>
      <x:c r="H220" s="119"/>
      <x:c r="I220" s="119"/>
      <x:c r="J220" s="119"/>
      <x:c r="K220" s="119"/>
      <x:c r="L220" s="119"/>
      <x:c r="M220" s="119"/>
      <x:c r="N220" s="119"/>
      <x:c r="O220" s="119"/>
      <x:c r="P220" s="119"/>
    </x:row>
    <x:row r="221">
      <x:c r="A221" s="119"/>
      <x:c r="B221" s="119"/>
      <x:c r="C221" s="119"/>
      <x:c r="D221" s="119"/>
      <x:c r="E221" s="119"/>
      <x:c r="F221" s="119"/>
      <x:c r="G221" s="119"/>
      <x:c r="H221" s="119"/>
      <x:c r="I221" s="119"/>
      <x:c r="J221" s="119"/>
      <x:c r="K221" s="119"/>
      <x:c r="L221" s="119"/>
      <x:c r="M221" s="119"/>
      <x:c r="N221" s="119"/>
      <x:c r="O221" s="119"/>
      <x:c r="P221" s="119"/>
    </x:row>
    <x:row r="222">
      <x:c r="A222" s="119"/>
      <x:c r="B222" s="119"/>
      <x:c r="C222" s="119"/>
      <x:c r="D222" s="119"/>
      <x:c r="E222" s="119"/>
      <x:c r="F222" s="119"/>
      <x:c r="G222" s="119"/>
      <x:c r="H222" s="119"/>
      <x:c r="I222" s="119"/>
      <x:c r="J222" s="119"/>
      <x:c r="K222" s="119"/>
      <x:c r="L222" s="119"/>
      <x:c r="M222" s="119"/>
      <x:c r="N222" s="119"/>
      <x:c r="O222" s="119"/>
      <x:c r="P222" s="119"/>
    </x:row>
    <x:row r="223">
      <x:c r="A223" s="119"/>
      <x:c r="B223" s="119"/>
      <x:c r="C223" s="119"/>
      <x:c r="D223" s="119"/>
      <x:c r="E223" s="119"/>
      <x:c r="F223" s="119"/>
      <x:c r="G223" s="119"/>
      <x:c r="H223" s="119"/>
      <x:c r="I223" s="119"/>
      <x:c r="J223" s="119"/>
      <x:c r="K223" s="119"/>
      <x:c r="L223" s="119"/>
      <x:c r="M223" s="119"/>
      <x:c r="N223" s="119"/>
      <x:c r="O223" s="119"/>
      <x:c r="P223" s="119"/>
    </x:row>
    <x:row r="224">
      <x:c r="A224" s="119"/>
      <x:c r="B224" s="119"/>
      <x:c r="C224" s="119"/>
      <x:c r="D224" s="119"/>
      <x:c r="E224" s="119"/>
      <x:c r="F224" s="119"/>
      <x:c r="G224" s="119"/>
      <x:c r="H224" s="119"/>
      <x:c r="I224" s="119"/>
      <x:c r="J224" s="119"/>
      <x:c r="K224" s="119"/>
      <x:c r="L224" s="119"/>
      <x:c r="M224" s="119"/>
      <x:c r="N224" s="119"/>
      <x:c r="O224" s="119"/>
      <x:c r="P224" s="119"/>
    </x:row>
    <x:row r="225">
      <x:c r="A225" s="119"/>
      <x:c r="B225" s="119"/>
      <x:c r="C225" s="119"/>
      <x:c r="D225" s="119"/>
      <x:c r="E225" s="119"/>
      <x:c r="F225" s="119"/>
      <x:c r="G225" s="119"/>
      <x:c r="H225" s="119"/>
      <x:c r="I225" s="119"/>
      <x:c r="J225" s="119"/>
      <x:c r="K225" s="119"/>
      <x:c r="L225" s="119"/>
      <x:c r="M225" s="119"/>
      <x:c r="N225" s="119"/>
      <x:c r="O225" s="119"/>
      <x:c r="P225" s="119"/>
    </x:row>
    <x:row r="226">
      <x:c r="A226" s="119"/>
      <x:c r="B226" s="119"/>
      <x:c r="C226" s="119"/>
      <x:c r="D226" s="119"/>
      <x:c r="E226" s="119"/>
      <x:c r="F226" s="119"/>
      <x:c r="G226" s="119"/>
      <x:c r="H226" s="119"/>
      <x:c r="I226" s="119"/>
      <x:c r="J226" s="119"/>
      <x:c r="K226" s="119"/>
      <x:c r="L226" s="119"/>
      <x:c r="M226" s="119"/>
      <x:c r="N226" s="119"/>
      <x:c r="O226" s="119"/>
      <x:c r="P226" s="119"/>
    </x:row>
    <x:row r="227">
      <x:c r="A227" s="119"/>
      <x:c r="B227" s="119"/>
      <x:c r="C227" s="119"/>
      <x:c r="D227" s="119"/>
      <x:c r="E227" s="119"/>
      <x:c r="F227" s="119"/>
      <x:c r="G227" s="119"/>
      <x:c r="H227" s="119"/>
      <x:c r="I227" s="119"/>
      <x:c r="J227" s="119"/>
      <x:c r="K227" s="119"/>
      <x:c r="L227" s="119"/>
      <x:c r="M227" s="119"/>
      <x:c r="N227" s="119"/>
      <x:c r="O227" s="119"/>
      <x:c r="P227" s="119"/>
    </x:row>
    <x:row r="228">
      <x:c r="A228" s="119"/>
      <x:c r="B228" s="119"/>
      <x:c r="C228" s="119"/>
      <x:c r="D228" s="119"/>
      <x:c r="E228" s="119"/>
      <x:c r="F228" s="119"/>
      <x:c r="G228" s="119"/>
      <x:c r="H228" s="119"/>
      <x:c r="I228" s="119"/>
      <x:c r="J228" s="119"/>
      <x:c r="K228" s="119"/>
      <x:c r="L228" s="119"/>
      <x:c r="M228" s="119"/>
      <x:c r="N228" s="119"/>
      <x:c r="O228" s="119"/>
      <x:c r="P228" s="119"/>
    </x:row>
    <x:row r="229">
      <x:c r="A229" s="119"/>
      <x:c r="B229" s="119"/>
      <x:c r="C229" s="119"/>
      <x:c r="D229" s="119"/>
      <x:c r="E229" s="119"/>
      <x:c r="F229" s="119"/>
      <x:c r="G229" s="119"/>
      <x:c r="H229" s="119"/>
      <x:c r="I229" s="119"/>
      <x:c r="J229" s="119"/>
      <x:c r="K229" s="119"/>
      <x:c r="L229" s="119"/>
      <x:c r="M229" s="119"/>
      <x:c r="N229" s="119"/>
      <x:c r="O229" s="119"/>
      <x:c r="P229" s="119"/>
    </x:row>
    <x:row r="230">
      <x:c r="A230" s="119"/>
      <x:c r="B230" s="119"/>
      <x:c r="C230" s="119"/>
      <x:c r="D230" s="119"/>
      <x:c r="E230" s="119"/>
      <x:c r="F230" s="119"/>
      <x:c r="G230" s="119"/>
      <x:c r="H230" s="119"/>
      <x:c r="I230" s="119"/>
      <x:c r="J230" s="119"/>
      <x:c r="K230" s="119"/>
      <x:c r="L230" s="119"/>
      <x:c r="M230" s="119"/>
      <x:c r="N230" s="119"/>
      <x:c r="O230" s="119"/>
      <x:c r="P230" s="119"/>
    </x:row>
    <x:row r="231">
      <x:c r="A231" s="119"/>
      <x:c r="B231" s="119"/>
      <x:c r="C231" s="119"/>
      <x:c r="D231" s="119"/>
      <x:c r="E231" s="119"/>
      <x:c r="F231" s="119"/>
      <x:c r="G231" s="119"/>
      <x:c r="H231" s="119"/>
      <x:c r="I231" s="119"/>
      <x:c r="J231" s="119"/>
      <x:c r="K231" s="119"/>
      <x:c r="L231" s="119"/>
      <x:c r="M231" s="119"/>
      <x:c r="N231" s="119"/>
      <x:c r="O231" s="119"/>
      <x:c r="P231" s="119"/>
    </x:row>
    <x:row r="232">
      <x:c r="A232" s="119"/>
      <x:c r="B232" s="119"/>
      <x:c r="C232" s="119"/>
      <x:c r="D232" s="119"/>
      <x:c r="E232" s="119"/>
      <x:c r="F232" s="119"/>
      <x:c r="G232" s="119"/>
      <x:c r="H232" s="119"/>
      <x:c r="I232" s="119"/>
      <x:c r="J232" s="119"/>
      <x:c r="K232" s="119"/>
      <x:c r="L232" s="119"/>
      <x:c r="M232" s="119"/>
      <x:c r="N232" s="119"/>
      <x:c r="O232" s="119"/>
      <x:c r="P232" s="119"/>
    </x:row>
    <x:row r="233">
      <x:c r="A233" s="119"/>
      <x:c r="B233" s="119"/>
      <x:c r="C233" s="119"/>
      <x:c r="D233" s="119"/>
      <x:c r="E233" s="119"/>
      <x:c r="F233" s="119"/>
      <x:c r="G233" s="119"/>
      <x:c r="H233" s="119"/>
      <x:c r="I233" s="119"/>
      <x:c r="J233" s="119"/>
      <x:c r="K233" s="119"/>
      <x:c r="L233" s="119"/>
      <x:c r="M233" s="119"/>
      <x:c r="N233" s="119"/>
      <x:c r="O233" s="119"/>
      <x:c r="P233" s="119"/>
    </x:row>
    <x:row r="234">
      <x:c r="A234" s="119"/>
      <x:c r="B234" s="119"/>
      <x:c r="C234" s="119"/>
      <x:c r="D234" s="119"/>
      <x:c r="E234" s="119"/>
      <x:c r="F234" s="119"/>
      <x:c r="G234" s="119"/>
      <x:c r="H234" s="119"/>
      <x:c r="I234" s="119"/>
      <x:c r="J234" s="119"/>
      <x:c r="K234" s="119"/>
      <x:c r="L234" s="119"/>
      <x:c r="M234" s="119"/>
      <x:c r="N234" s="119"/>
      <x:c r="O234" s="119"/>
      <x:c r="P234" s="119"/>
    </x:row>
    <x:row r="235">
      <x:c r="A235" s="119"/>
      <x:c r="B235" s="119"/>
      <x:c r="C235" s="119"/>
      <x:c r="D235" s="119"/>
      <x:c r="E235" s="119"/>
      <x:c r="F235" s="119"/>
      <x:c r="G235" s="119"/>
      <x:c r="H235" s="119"/>
      <x:c r="I235" s="119"/>
      <x:c r="J235" s="119"/>
      <x:c r="K235" s="119"/>
      <x:c r="L235" s="119"/>
      <x:c r="M235" s="119"/>
      <x:c r="N235" s="119"/>
      <x:c r="O235" s="119"/>
      <x:c r="P235" s="119"/>
    </x:row>
    <x:row r="236">
      <x:c r="A236" s="119"/>
      <x:c r="B236" s="119"/>
      <x:c r="C236" s="119"/>
      <x:c r="D236" s="119"/>
      <x:c r="E236" s="119"/>
      <x:c r="F236" s="119"/>
      <x:c r="G236" s="119"/>
      <x:c r="H236" s="119"/>
      <x:c r="I236" s="119"/>
      <x:c r="J236" s="119"/>
      <x:c r="K236" s="119"/>
      <x:c r="L236" s="119"/>
      <x:c r="M236" s="119"/>
      <x:c r="N236" s="119"/>
      <x:c r="O236" s="119"/>
      <x:c r="P236" s="119"/>
    </x:row>
    <x:row r="237">
      <x:c r="A237" s="119"/>
      <x:c r="B237" s="119"/>
      <x:c r="C237" s="119"/>
      <x:c r="D237" s="119"/>
      <x:c r="E237" s="119"/>
      <x:c r="F237" s="119"/>
      <x:c r="G237" s="119"/>
      <x:c r="H237" s="119"/>
      <x:c r="I237" s="119"/>
      <x:c r="J237" s="119"/>
      <x:c r="K237" s="119"/>
      <x:c r="L237" s="119"/>
      <x:c r="M237" s="119"/>
      <x:c r="N237" s="119"/>
      <x:c r="O237" s="119"/>
      <x:c r="P237" s="119"/>
    </x:row>
    <x:row r="238">
      <x:c r="A238" s="119"/>
      <x:c r="B238" s="119"/>
      <x:c r="C238" s="119"/>
      <x:c r="D238" s="119"/>
      <x:c r="E238" s="119"/>
      <x:c r="F238" s="119"/>
      <x:c r="G238" s="119"/>
      <x:c r="H238" s="119"/>
      <x:c r="I238" s="119"/>
      <x:c r="J238" s="119"/>
      <x:c r="K238" s="119"/>
      <x:c r="L238" s="119"/>
      <x:c r="M238" s="119"/>
      <x:c r="N238" s="119"/>
      <x:c r="O238" s="119"/>
      <x:c r="P238" s="119"/>
    </x:row>
    <x:row r="239">
      <x:c r="A239" s="119"/>
      <x:c r="B239" s="119"/>
      <x:c r="C239" s="119"/>
      <x:c r="D239" s="119"/>
      <x:c r="E239" s="119"/>
      <x:c r="F239" s="119"/>
      <x:c r="G239" s="119"/>
      <x:c r="H239" s="119"/>
      <x:c r="I239" s="119"/>
      <x:c r="J239" s="119"/>
      <x:c r="K239" s="119"/>
      <x:c r="L239" s="119"/>
      <x:c r="M239" s="119"/>
      <x:c r="N239" s="119"/>
      <x:c r="O239" s="119"/>
      <x:c r="P239" s="119"/>
    </x:row>
    <x:row r="240">
      <x:c r="A240" s="119"/>
      <x:c r="B240" s="119"/>
      <x:c r="C240" s="119"/>
      <x:c r="D240" s="119"/>
      <x:c r="E240" s="119"/>
      <x:c r="F240" s="119"/>
      <x:c r="G240" s="119"/>
      <x:c r="H240" s="119"/>
      <x:c r="I240" s="119"/>
      <x:c r="J240" s="119"/>
      <x:c r="K240" s="119"/>
      <x:c r="L240" s="119"/>
      <x:c r="M240" s="119"/>
      <x:c r="N240" s="119"/>
      <x:c r="O240" s="119"/>
      <x:c r="P240" s="119"/>
    </x:row>
    <x:row r="241">
      <x:c r="A241" s="119"/>
      <x:c r="B241" s="119"/>
      <x:c r="C241" s="119"/>
      <x:c r="D241" s="119"/>
      <x:c r="E241" s="119"/>
      <x:c r="F241" s="119"/>
      <x:c r="G241" s="119"/>
      <x:c r="H241" s="119"/>
      <x:c r="I241" s="119"/>
      <x:c r="J241" s="119"/>
      <x:c r="K241" s="119"/>
      <x:c r="L241" s="119"/>
      <x:c r="M241" s="119"/>
      <x:c r="N241" s="119"/>
      <x:c r="O241" s="119"/>
      <x:c r="P241" s="119"/>
    </x:row>
    <x:row r="242">
      <x:c r="A242" s="119"/>
      <x:c r="B242" s="119"/>
      <x:c r="C242" s="119"/>
      <x:c r="D242" s="119"/>
      <x:c r="E242" s="119"/>
      <x:c r="F242" s="119"/>
      <x:c r="G242" s="119"/>
      <x:c r="H242" s="119"/>
      <x:c r="I242" s="119"/>
      <x:c r="J242" s="119"/>
      <x:c r="K242" s="119"/>
      <x:c r="L242" s="119"/>
      <x:c r="M242" s="119"/>
      <x:c r="N242" s="119"/>
      <x:c r="O242" s="119"/>
      <x:c r="P242" s="119"/>
    </x:row>
    <x:row r="243">
      <x:c r="A243" s="119"/>
      <x:c r="B243" s="119"/>
      <x:c r="C243" s="119"/>
      <x:c r="D243" s="119"/>
      <x:c r="E243" s="119"/>
      <x:c r="F243" s="119"/>
      <x:c r="G243" s="119"/>
      <x:c r="H243" s="119"/>
      <x:c r="I243" s="119"/>
      <x:c r="J243" s="119"/>
      <x:c r="K243" s="119"/>
      <x:c r="L243" s="119"/>
      <x:c r="M243" s="119"/>
      <x:c r="N243" s="119"/>
      <x:c r="O243" s="119"/>
      <x:c r="P243" s="119"/>
    </x:row>
    <x:row r="244">
      <x:c r="A244" s="119"/>
      <x:c r="B244" s="119"/>
      <x:c r="C244" s="119"/>
      <x:c r="D244" s="119"/>
      <x:c r="E244" s="119"/>
      <x:c r="F244" s="119"/>
      <x:c r="G244" s="119"/>
      <x:c r="H244" s="119"/>
      <x:c r="I244" s="119"/>
      <x:c r="J244" s="119"/>
      <x:c r="K244" s="119"/>
      <x:c r="L244" s="119"/>
      <x:c r="M244" s="119"/>
      <x:c r="N244" s="119"/>
      <x:c r="O244" s="119"/>
      <x:c r="P244" s="119"/>
    </x:row>
    <x:row r="245">
      <x:c r="A245" s="119"/>
      <x:c r="B245" s="119"/>
      <x:c r="C245" s="119"/>
      <x:c r="D245" s="119"/>
      <x:c r="E245" s="119"/>
      <x:c r="F245" s="119"/>
      <x:c r="G245" s="119"/>
      <x:c r="H245" s="119"/>
      <x:c r="I245" s="119"/>
      <x:c r="J245" s="119"/>
      <x:c r="K245" s="119"/>
      <x:c r="L245" s="119"/>
      <x:c r="M245" s="119"/>
      <x:c r="N245" s="119"/>
      <x:c r="O245" s="119"/>
      <x:c r="P245" s="119"/>
    </x:row>
    <x:row r="246">
      <x:c r="A246" s="119"/>
      <x:c r="B246" s="119"/>
      <x:c r="C246" s="119"/>
      <x:c r="D246" s="119"/>
      <x:c r="E246" s="119"/>
      <x:c r="F246" s="119"/>
      <x:c r="G246" s="119"/>
      <x:c r="H246" s="119"/>
      <x:c r="I246" s="119"/>
      <x:c r="J246" s="119"/>
      <x:c r="K246" s="119"/>
      <x:c r="L246" s="119"/>
      <x:c r="M246" s="119"/>
      <x:c r="N246" s="119"/>
      <x:c r="O246" s="119"/>
      <x:c r="P246" s="119"/>
    </x:row>
    <x:row r="247">
      <x:c r="A247" s="119"/>
      <x:c r="B247" s="119"/>
      <x:c r="C247" s="119"/>
      <x:c r="D247" s="119"/>
      <x:c r="E247" s="119"/>
      <x:c r="F247" s="119"/>
      <x:c r="G247" s="119"/>
      <x:c r="H247" s="119"/>
      <x:c r="I247" s="119"/>
      <x:c r="J247" s="119"/>
      <x:c r="K247" s="119"/>
      <x:c r="L247" s="119"/>
      <x:c r="M247" s="119"/>
      <x:c r="N247" s="119"/>
      <x:c r="O247" s="119"/>
      <x:c r="P247" s="119"/>
    </x:row>
    <x:row r="248">
      <x:c r="A248" s="119"/>
      <x:c r="B248" s="119"/>
      <x:c r="C248" s="119"/>
      <x:c r="D248" s="119"/>
      <x:c r="E248" s="119"/>
      <x:c r="F248" s="119"/>
      <x:c r="G248" s="119"/>
      <x:c r="H248" s="119"/>
      <x:c r="I248" s="119"/>
      <x:c r="J248" s="119"/>
      <x:c r="K248" s="119"/>
      <x:c r="L248" s="119"/>
      <x:c r="M248" s="119"/>
      <x:c r="N248" s="119"/>
      <x:c r="O248" s="119"/>
      <x:c r="P248" s="119"/>
    </x:row>
    <x:row r="249">
      <x:c r="A249" s="119"/>
      <x:c r="B249" s="119"/>
      <x:c r="C249" s="119"/>
      <x:c r="D249" s="119"/>
      <x:c r="E249" s="119"/>
      <x:c r="F249" s="119"/>
      <x:c r="G249" s="119"/>
      <x:c r="H249" s="119"/>
      <x:c r="I249" s="119"/>
      <x:c r="J249" s="119"/>
      <x:c r="K249" s="119"/>
      <x:c r="L249" s="119"/>
      <x:c r="M249" s="119"/>
      <x:c r="N249" s="119"/>
      <x:c r="O249" s="119"/>
      <x:c r="P249" s="119"/>
    </x:row>
    <x:row r="250">
      <x:c r="A250" s="119"/>
      <x:c r="B250" s="119"/>
      <x:c r="C250" s="119"/>
      <x:c r="D250" s="119"/>
      <x:c r="E250" s="119"/>
      <x:c r="F250" s="119"/>
      <x:c r="G250" s="119"/>
      <x:c r="H250" s="119"/>
      <x:c r="I250" s="119"/>
      <x:c r="J250" s="119"/>
      <x:c r="K250" s="119"/>
      <x:c r="L250" s="119"/>
      <x:c r="M250" s="119"/>
      <x:c r="N250" s="119"/>
      <x:c r="O250" s="119"/>
      <x:c r="P250" s="119"/>
    </x:row>
  </x:sheetData>
  <x:conditionalFormatting sqref="E2:E100">
    <x:cfRule type="expression" dxfId="23" priority="1">
      <x:formula>E2="Available"</x:formula>
    </x:cfRule>
    <x:cfRule type="expression" dxfId="24" priority="2">
      <x:formula>E2="Partial"</x:formula>
    </x:cfRule>
    <x:cfRule type="expression" dxfId="25" priority="3">
      <x:formula>E2="Planned"</x:formula>
    </x:cfRule>
    <x:cfRule type="expression" dxfId="26" priority="4">
      <x:formula>E2="Missing"</x:formula>
    </x:cfRule>
    <x:cfRule type="expression" dxfId="27" priority="5">
      <x:formula>E2="Not Applicable"</x:formula>
    </x:cfRule>
  </x:conditionalFormatting>
  <x:dataValidations count="1">
    <x:dataValidation type="list" sqref="E2:E100">
      <x:formula1>"Available,Partial,Planned,Missing,Not Applicable"</x:formula1>
    </x:dataValidation>
  </x:dataValidations>
  <x:pageMargins left="0.7" right="0.7" top="0.75" bottom="0.75" header="0.3" footer="0.3"/>
  <x:tableParts count="1">
    <x:tablePart xmlns:r="http://schemas.openxmlformats.org/officeDocument/2006/relationships" r:id="Re629bab2a8864bdc"/>
  </x:tableParts>
</x:worksheet>
</file>

<file path=xl/worksheets/sheet7.xml><?xml version="1.0" encoding="utf-8"?>
<x:worksheet xmlns:x="http://schemas.openxmlformats.org/spreadsheetml/2006/main">
  <x:sheetFormatPr defaultRowHeight="15"/>
  <x:cols>
    <x:col min="1" max="1" width="18" hidden="0" customWidth="1"/>
    <x:col min="2" max="2" width="27" hidden="0" customWidth="1"/>
    <x:col min="3" max="3" width="52" hidden="0" customWidth="1"/>
    <x:col min="4" max="4" width="4" hidden="0" customWidth="1"/>
    <x:col min="5" max="5" width="20" hidden="0" customWidth="1"/>
    <x:col min="6" max="6" width="20" hidden="0" customWidth="1"/>
    <x:col min="7" max="7" width="20" hidden="0" customWidth="1"/>
    <x:col min="8" max="8" width="50" hidden="0" customWidth="1"/>
  </x:cols>
  <x:sheetData>
    <x:row r="1">
      <x:c r="A1" s="30" t="str">
        <x:v>NIST CSF 2.0 Profile Methodology</x:v>
      </x:c>
      <x:c r="B1" s="30"/>
      <x:c r="C1" s="30"/>
      <x:c r="D1" s="30"/>
      <x:c r="E1" s="30"/>
      <x:c r="F1" s="30"/>
      <x:c r="G1" s="30"/>
      <x:c r="H1" s="30"/>
      <x:c r="I1" s="119"/>
      <x:c r="J1" s="119"/>
      <x:c r="K1" s="119"/>
      <x:c r="L1" s="119"/>
      <x:c r="M1" s="119"/>
      <x:c r="N1" s="119"/>
      <x:c r="O1" s="119"/>
      <x:c r="P1" s="119"/>
    </x:row>
    <x:row r="2">
      <x:c r="A2" s="30"/>
      <x:c r="B2" s="30"/>
      <x:c r="C2" s="30"/>
      <x:c r="D2" s="30"/>
      <x:c r="E2" s="30"/>
      <x:c r="F2" s="30"/>
      <x:c r="G2" s="30"/>
      <x:c r="H2" s="30"/>
      <x:c r="I2" s="119"/>
      <x:c r="J2" s="119"/>
      <x:c r="K2" s="119"/>
      <x:c r="L2" s="119"/>
      <x:c r="M2" s="119"/>
      <x:c r="N2" s="119"/>
      <x:c r="O2" s="119"/>
      <x:c r="P2" s="119"/>
    </x:row>
    <x:row r="3">
      <x:c r="A3" s="119"/>
      <x:c r="B3" s="119"/>
      <x:c r="C3" s="119"/>
      <x:c r="D3" s="119"/>
      <x:c r="E3" s="119"/>
      <x:c r="F3" s="119"/>
      <x:c r="G3" s="119"/>
      <x:c r="H3" s="119"/>
      <x:c r="I3" s="119"/>
      <x:c r="J3" s="119"/>
      <x:c r="K3" s="119"/>
      <x:c r="L3" s="119"/>
      <x:c r="M3" s="119"/>
      <x:c r="N3" s="119"/>
      <x:c r="O3" s="119"/>
      <x:c r="P3" s="119"/>
    </x:row>
    <x:row r="4">
      <x:c r="A4" s="168" t="str">
        <x:v>Score</x:v>
      </x:c>
      <x:c r="B4" s="168" t="str">
        <x:v>Internal Implementation Label</x:v>
      </x:c>
      <x:c r="C4" s="168" t="str">
        <x:v>Portfolio Interpretation</x:v>
      </x:c>
      <x:c r="D4" s="119"/>
      <x:c r="E4" s="176" t="str">
        <x:v>Important Interpretation</x:v>
      </x:c>
      <x:c r="F4" s="176"/>
      <x:c r="G4" s="176"/>
      <x:c r="H4" s="176"/>
      <x:c r="I4" s="119"/>
      <x:c r="J4" s="119"/>
      <x:c r="K4" s="119"/>
      <x:c r="L4" s="119"/>
      <x:c r="M4" s="119"/>
      <x:c r="N4" s="119"/>
      <x:c r="O4" s="119"/>
      <x:c r="P4" s="119"/>
    </x:row>
    <x:row r="5">
      <x:c r="A5" s="161" t="n">
        <x:v>0</x:v>
      </x:c>
      <x:c r="B5" s="161" t="str">
        <x:v>Not Implemented</x:v>
      </x:c>
      <x:c r="C5" s="161" t="str">
        <x:v>No meaningful control or repeatable practice is evident.</x:v>
      </x:c>
      <x:c r="D5" s="119"/>
      <x:c r="E5" s="162" t="str">
        <x:v>These 0–4 values are an internal portfolio implementation scale used to compare the fictional organization's Current Profile with its Target Profile. They are NOT NIST CSF Implementation Tiers, maturity levels defined by NIST, certification ratings or compliance scores.
NIST CSF 2.0 is outcome-based and intentionally flexible. The workbook uses the 22 CSF 2.0 Categories to organize desired outcomes and connect them to the enterprise risk register, evidence and remediation plan.</x:v>
      </x:c>
      <x:c r="F5" s="162"/>
      <x:c r="G5" s="162"/>
      <x:c r="H5" s="162"/>
      <x:c r="I5" s="119"/>
      <x:c r="J5" s="119"/>
      <x:c r="K5" s="119"/>
      <x:c r="L5" s="119"/>
      <x:c r="M5" s="119"/>
      <x:c r="N5" s="119"/>
      <x:c r="O5" s="119"/>
      <x:c r="P5" s="119"/>
    </x:row>
    <x:row r="6">
      <x:c r="A6" s="161" t="n">
        <x:v>1</x:v>
      </x:c>
      <x:c r="B6" s="161" t="str">
        <x:v>Initial</x:v>
      </x:c>
      <x:c r="C6" s="161" t="str">
        <x:v>Some activities exist, but coverage is inconsistent, informal or highly dependent on individuals.</x:v>
      </x:c>
      <x:c r="D6" s="119"/>
      <x:c r="E6" s="162"/>
      <x:c r="F6" s="162"/>
      <x:c r="G6" s="162"/>
      <x:c r="H6" s="162"/>
      <x:c r="I6" s="119"/>
      <x:c r="J6" s="119"/>
      <x:c r="K6" s="119"/>
      <x:c r="L6" s="119"/>
      <x:c r="M6" s="119"/>
      <x:c r="N6" s="119"/>
      <x:c r="O6" s="119"/>
      <x:c r="P6" s="119"/>
    </x:row>
    <x:row r="7">
      <x:c r="A7" s="161" t="n">
        <x:v>2</x:v>
      </x:c>
      <x:c r="B7" s="161" t="str">
        <x:v>Developing</x:v>
      </x:c>
      <x:c r="C7" s="161" t="str">
        <x:v>Control exists in several areas but lacks complete coverage, evidence, governance or repeatability.</x:v>
      </x:c>
      <x:c r="D7" s="119"/>
      <x:c r="E7" s="162"/>
      <x:c r="F7" s="162"/>
      <x:c r="G7" s="162"/>
      <x:c r="H7" s="162"/>
      <x:c r="I7" s="119"/>
      <x:c r="J7" s="119"/>
      <x:c r="K7" s="119"/>
      <x:c r="L7" s="119"/>
      <x:c r="M7" s="119"/>
      <x:c r="N7" s="119"/>
      <x:c r="O7" s="119"/>
      <x:c r="P7" s="119"/>
    </x:row>
    <x:row r="8">
      <x:c r="A8" s="161" t="n">
        <x:v>3</x:v>
      </x:c>
      <x:c r="B8" s="161" t="str">
        <x:v>Defined</x:v>
      </x:c>
      <x:c r="C8" s="161" t="str">
        <x:v>Documented, consistently implemented and owned across the intended scope, with evidence available.</x:v>
      </x:c>
      <x:c r="D8" s="119"/>
      <x:c r="E8" s="162"/>
      <x:c r="F8" s="162"/>
      <x:c r="G8" s="162"/>
      <x:c r="H8" s="162"/>
      <x:c r="I8" s="119"/>
      <x:c r="J8" s="119"/>
      <x:c r="K8" s="119"/>
      <x:c r="L8" s="119"/>
      <x:c r="M8" s="119"/>
      <x:c r="N8" s="119"/>
      <x:c r="O8" s="119"/>
      <x:c r="P8" s="119"/>
    </x:row>
    <x:row r="9">
      <x:c r="A9" s="161" t="n">
        <x:v>4</x:v>
      </x:c>
      <x:c r="B9" s="161" t="str">
        <x:v>Managed</x:v>
      </x:c>
      <x:c r="C9" s="161" t="str">
        <x:v>Defined control is measured, reviewed and improved using governance, testing and performance evidence.</x:v>
      </x:c>
      <x:c r="D9" s="119"/>
      <x:c r="E9" s="162"/>
      <x:c r="F9" s="162"/>
      <x:c r="G9" s="162"/>
      <x:c r="H9" s="162"/>
      <x:c r="I9" s="119"/>
      <x:c r="J9" s="119"/>
      <x:c r="K9" s="119"/>
      <x:c r="L9" s="119"/>
      <x:c r="M9" s="119"/>
      <x:c r="N9" s="119"/>
      <x:c r="O9" s="119"/>
      <x:c r="P9" s="119"/>
    </x:row>
    <x:row r="10">
      <x:c r="A10" s="119"/>
      <x:c r="B10" s="119"/>
      <x:c r="C10" s="119"/>
      <x:c r="D10" s="119"/>
      <x:c r="E10" s="162"/>
      <x:c r="F10" s="162"/>
      <x:c r="G10" s="162"/>
      <x:c r="H10" s="162"/>
      <x:c r="I10" s="119"/>
      <x:c r="J10" s="119"/>
      <x:c r="K10" s="119"/>
      <x:c r="L10" s="119"/>
      <x:c r="M10" s="119"/>
      <x:c r="N10" s="119"/>
      <x:c r="O10" s="119"/>
      <x:c r="P10" s="119"/>
    </x:row>
    <x:row r="11">
      <x:c r="A11" s="119"/>
      <x:c r="B11" s="119"/>
      <x:c r="C11" s="119"/>
      <x:c r="D11" s="119"/>
      <x:c r="E11" s="162"/>
      <x:c r="F11" s="162"/>
      <x:c r="G11" s="162"/>
      <x:c r="H11" s="162"/>
      <x:c r="I11" s="119"/>
      <x:c r="J11" s="119"/>
      <x:c r="K11" s="119"/>
      <x:c r="L11" s="119"/>
      <x:c r="M11" s="119"/>
      <x:c r="N11" s="119"/>
      <x:c r="O11" s="119"/>
      <x:c r="P11" s="119"/>
    </x:row>
    <x:row r="12">
      <x:c r="A12" s="119"/>
      <x:c r="B12" s="119"/>
      <x:c r="C12" s="119"/>
      <x:c r="D12" s="119"/>
      <x:c r="E12" s="119"/>
      <x:c r="F12" s="119"/>
      <x:c r="G12" s="119"/>
      <x:c r="H12" s="119"/>
      <x:c r="I12" s="119"/>
      <x:c r="J12" s="119"/>
      <x:c r="K12" s="119"/>
      <x:c r="L12" s="119"/>
      <x:c r="M12" s="119"/>
      <x:c r="N12" s="119"/>
      <x:c r="O12" s="119"/>
      <x:c r="P12" s="119"/>
    </x:row>
    <x:row r="13">
      <x:c r="A13" s="176" t="str">
        <x:v>Weighted Alignment Formula</x:v>
      </x:c>
      <x:c r="B13" s="176"/>
      <x:c r="C13" s="176"/>
      <x:c r="D13" s="176"/>
      <x:c r="E13" s="176"/>
      <x:c r="F13" s="176"/>
      <x:c r="G13" s="176"/>
      <x:c r="H13" s="176"/>
      <x:c r="I13" s="119"/>
      <x:c r="J13" s="119"/>
      <x:c r="K13" s="119"/>
      <x:c r="L13" s="119"/>
      <x:c r="M13" s="119"/>
      <x:c r="N13" s="119"/>
      <x:c r="O13" s="119"/>
      <x:c r="P13" s="119"/>
    </x:row>
    <x:row r="14">
      <x:c r="A14" s="162" t="str">
        <x:v>Each CSF Category receives an Importance Weight from 3–5 based on its relevance to the Project 2 risk profile.
Weighted Current = Σ(Current Score × Importance Weight)
Weighted Target = Σ(Target Score × Importance Weight)
Alignment to Target = Weighted Current ÷ Weighted Target
The percentage is a simulated implementation/profile-alignment indicator for prioritization. It should not be described as legal compliance, certification or a NIST-issued score.</x:v>
      </x:c>
      <x:c r="B14" s="162"/>
      <x:c r="C14" s="162"/>
      <x:c r="D14" s="162"/>
      <x:c r="E14" s="162"/>
      <x:c r="F14" s="162"/>
      <x:c r="G14" s="162"/>
      <x:c r="H14" s="162"/>
      <x:c r="I14" s="119"/>
      <x:c r="J14" s="119"/>
      <x:c r="K14" s="119"/>
      <x:c r="L14" s="119"/>
      <x:c r="M14" s="119"/>
      <x:c r="N14" s="119"/>
      <x:c r="O14" s="119"/>
      <x:c r="P14" s="119"/>
    </x:row>
    <x:row r="15">
      <x:c r="A15" s="162"/>
      <x:c r="B15" s="162"/>
      <x:c r="C15" s="162"/>
      <x:c r="D15" s="162"/>
      <x:c r="E15" s="162"/>
      <x:c r="F15" s="162"/>
      <x:c r="G15" s="162"/>
      <x:c r="H15" s="162"/>
      <x:c r="I15" s="119"/>
      <x:c r="J15" s="119"/>
      <x:c r="K15" s="119"/>
      <x:c r="L15" s="119"/>
      <x:c r="M15" s="119"/>
      <x:c r="N15" s="119"/>
      <x:c r="O15" s="119"/>
      <x:c r="P15" s="119"/>
    </x:row>
    <x:row r="16">
      <x:c r="A16" s="162"/>
      <x:c r="B16" s="162"/>
      <x:c r="C16" s="162"/>
      <x:c r="D16" s="162"/>
      <x:c r="E16" s="162"/>
      <x:c r="F16" s="162"/>
      <x:c r="G16" s="162"/>
      <x:c r="H16" s="162"/>
      <x:c r="I16" s="119"/>
      <x:c r="J16" s="119"/>
      <x:c r="K16" s="119"/>
      <x:c r="L16" s="119"/>
      <x:c r="M16" s="119"/>
      <x:c r="N16" s="119"/>
      <x:c r="O16" s="119"/>
      <x:c r="P16" s="119"/>
    </x:row>
    <x:row r="17">
      <x:c r="A17" s="162"/>
      <x:c r="B17" s="162"/>
      <x:c r="C17" s="162"/>
      <x:c r="D17" s="162"/>
      <x:c r="E17" s="162"/>
      <x:c r="F17" s="162"/>
      <x:c r="G17" s="162"/>
      <x:c r="H17" s="162"/>
      <x:c r="I17" s="119"/>
      <x:c r="J17" s="119"/>
      <x:c r="K17" s="119"/>
      <x:c r="L17" s="119"/>
      <x:c r="M17" s="119"/>
      <x:c r="N17" s="119"/>
      <x:c r="O17" s="119"/>
      <x:c r="P17" s="119"/>
    </x:row>
    <x:row r="18">
      <x:c r="A18" s="162"/>
      <x:c r="B18" s="162"/>
      <x:c r="C18" s="162"/>
      <x:c r="D18" s="162"/>
      <x:c r="E18" s="162"/>
      <x:c r="F18" s="162"/>
      <x:c r="G18" s="162"/>
      <x:c r="H18" s="162"/>
      <x:c r="I18" s="119"/>
      <x:c r="J18" s="119"/>
      <x:c r="K18" s="119"/>
      <x:c r="L18" s="119"/>
      <x:c r="M18" s="119"/>
      <x:c r="N18" s="119"/>
      <x:c r="O18" s="119"/>
      <x:c r="P18" s="119"/>
    </x:row>
    <x:row r="19">
      <x:c r="A19" s="162"/>
      <x:c r="B19" s="162"/>
      <x:c r="C19" s="162"/>
      <x:c r="D19" s="162"/>
      <x:c r="E19" s="162"/>
      <x:c r="F19" s="162"/>
      <x:c r="G19" s="162"/>
      <x:c r="H19" s="162"/>
      <x:c r="I19" s="119"/>
      <x:c r="J19" s="119"/>
      <x:c r="K19" s="119"/>
      <x:c r="L19" s="119"/>
      <x:c r="M19" s="119"/>
      <x:c r="N19" s="119"/>
      <x:c r="O19" s="119"/>
      <x:c r="P19" s="119"/>
    </x:row>
    <x:row r="20">
      <x:c r="A20" s="119"/>
      <x:c r="B20" s="119"/>
      <x:c r="C20" s="119"/>
      <x:c r="D20" s="119"/>
      <x:c r="E20" s="119"/>
      <x:c r="F20" s="119"/>
      <x:c r="G20" s="119"/>
      <x:c r="H20" s="119"/>
      <x:c r="I20" s="119"/>
      <x:c r="J20" s="119"/>
      <x:c r="K20" s="119"/>
      <x:c r="L20" s="119"/>
      <x:c r="M20" s="119"/>
      <x:c r="N20" s="119"/>
      <x:c r="O20" s="119"/>
      <x:c r="P20" s="119"/>
    </x:row>
    <x:row r="21">
      <x:c r="A21" s="176" t="str">
        <x:v>Traceability Model</x:v>
      </x:c>
      <x:c r="B21" s="176"/>
      <x:c r="C21" s="176"/>
      <x:c r="D21" s="176"/>
      <x:c r="E21" s="176"/>
      <x:c r="F21" s="176"/>
      <x:c r="G21" s="176"/>
      <x:c r="H21" s="176"/>
      <x:c r="I21" s="119"/>
      <x:c r="J21" s="119"/>
      <x:c r="K21" s="119"/>
      <x:c r="L21" s="119"/>
      <x:c r="M21" s="119"/>
      <x:c r="N21" s="119"/>
      <x:c r="O21" s="119"/>
      <x:c r="P21" s="119"/>
    </x:row>
    <x:row r="22">
      <x:c r="A22" s="162" t="str">
        <x:v>The control mapping is built as a traceability chain:
Business Context → Asset Inventory → Threat/Vulnerability Matrix → Enterprise Risk Register → NIST CSF 2.0 Category → Evidence → Gap Action.
This allows a reviewer to see why a control is prioritized, which risks it addresses, what evidence should demonstrate implementation and who is accountable for closing the gap.</x:v>
      </x:c>
      <x:c r="B22" s="162"/>
      <x:c r="C22" s="162"/>
      <x:c r="D22" s="162"/>
      <x:c r="E22" s="162"/>
      <x:c r="F22" s="162"/>
      <x:c r="G22" s="162"/>
      <x:c r="H22" s="162"/>
      <x:c r="I22" s="119"/>
      <x:c r="J22" s="119"/>
      <x:c r="K22" s="119"/>
      <x:c r="L22" s="119"/>
      <x:c r="M22" s="119"/>
      <x:c r="N22" s="119"/>
      <x:c r="O22" s="119"/>
      <x:c r="P22" s="119"/>
    </x:row>
    <x:row r="23">
      <x:c r="A23" s="162"/>
      <x:c r="B23" s="162"/>
      <x:c r="C23" s="162"/>
      <x:c r="D23" s="162"/>
      <x:c r="E23" s="162"/>
      <x:c r="F23" s="162"/>
      <x:c r="G23" s="162"/>
      <x:c r="H23" s="162"/>
      <x:c r="I23" s="119"/>
      <x:c r="J23" s="119"/>
      <x:c r="K23" s="119"/>
      <x:c r="L23" s="119"/>
      <x:c r="M23" s="119"/>
      <x:c r="N23" s="119"/>
      <x:c r="O23" s="119"/>
      <x:c r="P23" s="119"/>
    </x:row>
    <x:row r="24">
      <x:c r="A24" s="162"/>
      <x:c r="B24" s="162"/>
      <x:c r="C24" s="162"/>
      <x:c r="D24" s="162"/>
      <x:c r="E24" s="162"/>
      <x:c r="F24" s="162"/>
      <x:c r="G24" s="162"/>
      <x:c r="H24" s="162"/>
      <x:c r="I24" s="119"/>
      <x:c r="J24" s="119"/>
      <x:c r="K24" s="119"/>
      <x:c r="L24" s="119"/>
      <x:c r="M24" s="119"/>
      <x:c r="N24" s="119"/>
      <x:c r="O24" s="119"/>
      <x:c r="P24" s="119"/>
    </x:row>
    <x:row r="25">
      <x:c r="A25" s="162"/>
      <x:c r="B25" s="162"/>
      <x:c r="C25" s="162"/>
      <x:c r="D25" s="162"/>
      <x:c r="E25" s="162"/>
      <x:c r="F25" s="162"/>
      <x:c r="G25" s="162"/>
      <x:c r="H25" s="162"/>
      <x:c r="I25" s="119"/>
      <x:c r="J25" s="119"/>
      <x:c r="K25" s="119"/>
      <x:c r="L25" s="119"/>
      <x:c r="M25" s="119"/>
      <x:c r="N25" s="119"/>
      <x:c r="O25" s="119"/>
      <x:c r="P25" s="119"/>
    </x:row>
    <x:row r="26">
      <x:c r="A26" s="162"/>
      <x:c r="B26" s="162"/>
      <x:c r="C26" s="162"/>
      <x:c r="D26" s="162"/>
      <x:c r="E26" s="162"/>
      <x:c r="F26" s="162"/>
      <x:c r="G26" s="162"/>
      <x:c r="H26" s="162"/>
      <x:c r="I26" s="119"/>
      <x:c r="J26" s="119"/>
      <x:c r="K26" s="119"/>
      <x:c r="L26" s="119"/>
      <x:c r="M26" s="119"/>
      <x:c r="N26" s="119"/>
      <x:c r="O26" s="119"/>
      <x:c r="P26" s="119"/>
    </x:row>
    <x:row r="27">
      <x:c r="A27" s="162"/>
      <x:c r="B27" s="162"/>
      <x:c r="C27" s="162"/>
      <x:c r="D27" s="162"/>
      <x:c r="E27" s="162"/>
      <x:c r="F27" s="162"/>
      <x:c r="G27" s="162"/>
      <x:c r="H27" s="162"/>
      <x:c r="I27" s="119"/>
      <x:c r="J27" s="119"/>
      <x:c r="K27" s="119"/>
      <x:c r="L27" s="119"/>
      <x:c r="M27" s="119"/>
      <x:c r="N27" s="119"/>
      <x:c r="O27" s="119"/>
      <x:c r="P27" s="119"/>
    </x:row>
    <x:row r="28">
      <x:c r="A28" s="162"/>
      <x:c r="B28" s="162"/>
      <x:c r="C28" s="162"/>
      <x:c r="D28" s="162"/>
      <x:c r="E28" s="162"/>
      <x:c r="F28" s="162"/>
      <x:c r="G28" s="162"/>
      <x:c r="H28" s="162"/>
      <x:c r="I28" s="119"/>
      <x:c r="J28" s="119"/>
      <x:c r="K28" s="119"/>
      <x:c r="L28" s="119"/>
      <x:c r="M28" s="119"/>
      <x:c r="N28" s="119"/>
      <x:c r="O28" s="119"/>
      <x:c r="P28" s="119"/>
    </x:row>
    <x:row r="29">
      <x:c r="A29" s="119"/>
      <x:c r="B29" s="119"/>
      <x:c r="C29" s="119"/>
      <x:c r="D29" s="119"/>
      <x:c r="E29" s="119"/>
      <x:c r="F29" s="119"/>
      <x:c r="G29" s="119"/>
      <x:c r="H29" s="119"/>
      <x:c r="I29" s="119"/>
      <x:c r="J29" s="119"/>
      <x:c r="K29" s="119"/>
      <x:c r="L29" s="119"/>
      <x:c r="M29" s="119"/>
      <x:c r="N29" s="119"/>
      <x:c r="O29" s="119"/>
      <x:c r="P29" s="119"/>
    </x:row>
    <x:row r="30">
      <x:c r="A30" s="119"/>
      <x:c r="B30" s="119"/>
      <x:c r="C30" s="119"/>
      <x:c r="D30" s="119"/>
      <x:c r="E30" s="119"/>
      <x:c r="F30" s="119"/>
      <x:c r="G30" s="119"/>
      <x:c r="H30" s="119"/>
      <x:c r="I30" s="119"/>
      <x:c r="J30" s="119"/>
      <x:c r="K30" s="119"/>
      <x:c r="L30" s="119"/>
      <x:c r="M30" s="119"/>
      <x:c r="N30" s="119"/>
      <x:c r="O30" s="119"/>
      <x:c r="P30" s="119"/>
    </x:row>
    <x:row r="31">
      <x:c r="A31" s="119"/>
      <x:c r="B31" s="119"/>
      <x:c r="C31" s="119"/>
      <x:c r="D31" s="119"/>
      <x:c r="E31" s="119"/>
      <x:c r="F31" s="119"/>
      <x:c r="G31" s="119"/>
      <x:c r="H31" s="119"/>
      <x:c r="I31" s="119"/>
      <x:c r="J31" s="119"/>
      <x:c r="K31" s="119"/>
      <x:c r="L31" s="119"/>
      <x:c r="M31" s="119"/>
      <x:c r="N31" s="119"/>
      <x:c r="O31" s="119"/>
      <x:c r="P31" s="119"/>
    </x:row>
    <x:row r="32">
      <x:c r="A32" s="119"/>
      <x:c r="B32" s="119"/>
      <x:c r="C32" s="119"/>
      <x:c r="D32" s="119"/>
      <x:c r="E32" s="119"/>
      <x:c r="F32" s="119"/>
      <x:c r="G32" s="119"/>
      <x:c r="H32" s="119"/>
      <x:c r="I32" s="119"/>
      <x:c r="J32" s="119"/>
      <x:c r="K32" s="119"/>
      <x:c r="L32" s="119"/>
      <x:c r="M32" s="119"/>
      <x:c r="N32" s="119"/>
      <x:c r="O32" s="119"/>
      <x:c r="P32" s="119"/>
    </x:row>
    <x:row r="33">
      <x:c r="A33" s="119"/>
      <x:c r="B33" s="119"/>
      <x:c r="C33" s="119"/>
      <x:c r="D33" s="119"/>
      <x:c r="E33" s="119"/>
      <x:c r="F33" s="119"/>
      <x:c r="G33" s="119"/>
      <x:c r="H33" s="119"/>
      <x:c r="I33" s="119"/>
      <x:c r="J33" s="119"/>
      <x:c r="K33" s="119"/>
      <x:c r="L33" s="119"/>
      <x:c r="M33" s="119"/>
      <x:c r="N33" s="119"/>
      <x:c r="O33" s="119"/>
      <x:c r="P33" s="119"/>
    </x:row>
    <x:row r="34">
      <x:c r="A34" s="119"/>
      <x:c r="B34" s="119"/>
      <x:c r="C34" s="119"/>
      <x:c r="D34" s="119"/>
      <x:c r="E34" s="119"/>
      <x:c r="F34" s="119"/>
      <x:c r="G34" s="119"/>
      <x:c r="H34" s="119"/>
      <x:c r="I34" s="119"/>
      <x:c r="J34" s="119"/>
      <x:c r="K34" s="119"/>
      <x:c r="L34" s="119"/>
      <x:c r="M34" s="119"/>
      <x:c r="N34" s="119"/>
      <x:c r="O34" s="119"/>
      <x:c r="P34" s="119"/>
    </x:row>
    <x:row r="35">
      <x:c r="A35" s="119"/>
      <x:c r="B35" s="119"/>
      <x:c r="C35" s="119"/>
      <x:c r="D35" s="119"/>
      <x:c r="E35" s="119"/>
      <x:c r="F35" s="119"/>
      <x:c r="G35" s="119"/>
      <x:c r="H35" s="119"/>
      <x:c r="I35" s="119"/>
      <x:c r="J35" s="119"/>
      <x:c r="K35" s="119"/>
      <x:c r="L35" s="119"/>
      <x:c r="M35" s="119"/>
      <x:c r="N35" s="119"/>
      <x:c r="O35" s="119"/>
      <x:c r="P35" s="119"/>
    </x:row>
    <x:row r="36">
      <x:c r="A36" s="119"/>
      <x:c r="B36" s="119"/>
      <x:c r="C36" s="119"/>
      <x:c r="D36" s="119"/>
      <x:c r="E36" s="119"/>
      <x:c r="F36" s="119"/>
      <x:c r="G36" s="119"/>
      <x:c r="H36" s="119"/>
      <x:c r="I36" s="119"/>
      <x:c r="J36" s="119"/>
      <x:c r="K36" s="119"/>
      <x:c r="L36" s="119"/>
      <x:c r="M36" s="119"/>
      <x:c r="N36" s="119"/>
      <x:c r="O36" s="119"/>
      <x:c r="P36" s="119"/>
    </x:row>
    <x:row r="37">
      <x:c r="A37" s="119"/>
      <x:c r="B37" s="119"/>
      <x:c r="C37" s="119"/>
      <x:c r="D37" s="119"/>
      <x:c r="E37" s="119"/>
      <x:c r="F37" s="119"/>
      <x:c r="G37" s="119"/>
      <x:c r="H37" s="119"/>
      <x:c r="I37" s="119"/>
      <x:c r="J37" s="119"/>
      <x:c r="K37" s="119"/>
      <x:c r="L37" s="119"/>
      <x:c r="M37" s="119"/>
      <x:c r="N37" s="119"/>
      <x:c r="O37" s="119"/>
      <x:c r="P37" s="119"/>
    </x:row>
    <x:row r="38">
      <x:c r="A38" s="119"/>
      <x:c r="B38" s="119"/>
      <x:c r="C38" s="119"/>
      <x:c r="D38" s="119"/>
      <x:c r="E38" s="119"/>
      <x:c r="F38" s="119"/>
      <x:c r="G38" s="119"/>
      <x:c r="H38" s="119"/>
      <x:c r="I38" s="119"/>
      <x:c r="J38" s="119"/>
      <x:c r="K38" s="119"/>
      <x:c r="L38" s="119"/>
      <x:c r="M38" s="119"/>
      <x:c r="N38" s="119"/>
      <x:c r="O38" s="119"/>
      <x:c r="P38" s="119"/>
    </x:row>
    <x:row r="39">
      <x:c r="A39" s="119"/>
      <x:c r="B39" s="119"/>
      <x:c r="C39" s="119"/>
      <x:c r="D39" s="119"/>
      <x:c r="E39" s="119"/>
      <x:c r="F39" s="119"/>
      <x:c r="G39" s="119"/>
      <x:c r="H39" s="119"/>
      <x:c r="I39" s="119"/>
      <x:c r="J39" s="119"/>
      <x:c r="K39" s="119"/>
      <x:c r="L39" s="119"/>
      <x:c r="M39" s="119"/>
      <x:c r="N39" s="119"/>
      <x:c r="O39" s="119"/>
      <x:c r="P39" s="119"/>
    </x:row>
    <x:row r="40">
      <x:c r="A40" s="119"/>
      <x:c r="B40" s="119"/>
      <x:c r="C40" s="119"/>
      <x:c r="D40" s="119"/>
      <x:c r="E40" s="119"/>
      <x:c r="F40" s="119"/>
      <x:c r="G40" s="119"/>
      <x:c r="H40" s="119"/>
      <x:c r="I40" s="119"/>
      <x:c r="J40" s="119"/>
      <x:c r="K40" s="119"/>
      <x:c r="L40" s="119"/>
      <x:c r="M40" s="119"/>
      <x:c r="N40" s="119"/>
      <x:c r="O40" s="119"/>
      <x:c r="P40" s="119"/>
    </x:row>
    <x:row r="41">
      <x:c r="A41" s="119"/>
      <x:c r="B41" s="119"/>
      <x:c r="C41" s="119"/>
      <x:c r="D41" s="119"/>
      <x:c r="E41" s="119"/>
      <x:c r="F41" s="119"/>
      <x:c r="G41" s="119"/>
      <x:c r="H41" s="119"/>
      <x:c r="I41" s="119"/>
      <x:c r="J41" s="119"/>
      <x:c r="K41" s="119"/>
      <x:c r="L41" s="119"/>
      <x:c r="M41" s="119"/>
      <x:c r="N41" s="119"/>
      <x:c r="O41" s="119"/>
      <x:c r="P41" s="119"/>
    </x:row>
    <x:row r="42">
      <x:c r="A42" s="119"/>
      <x:c r="B42" s="119"/>
      <x:c r="C42" s="119"/>
      <x:c r="D42" s="119"/>
      <x:c r="E42" s="119"/>
      <x:c r="F42" s="119"/>
      <x:c r="G42" s="119"/>
      <x:c r="H42" s="119"/>
      <x:c r="I42" s="119"/>
      <x:c r="J42" s="119"/>
      <x:c r="K42" s="119"/>
      <x:c r="L42" s="119"/>
      <x:c r="M42" s="119"/>
      <x:c r="N42" s="119"/>
      <x:c r="O42" s="119"/>
      <x:c r="P42" s="119"/>
    </x:row>
    <x:row r="43">
      <x:c r="A43" s="119"/>
      <x:c r="B43" s="119"/>
      <x:c r="C43" s="119"/>
      <x:c r="D43" s="119"/>
      <x:c r="E43" s="119"/>
      <x:c r="F43" s="119"/>
      <x:c r="G43" s="119"/>
      <x:c r="H43" s="119"/>
      <x:c r="I43" s="119"/>
      <x:c r="J43" s="119"/>
      <x:c r="K43" s="119"/>
      <x:c r="L43" s="119"/>
      <x:c r="M43" s="119"/>
      <x:c r="N43" s="119"/>
      <x:c r="O43" s="119"/>
      <x:c r="P43" s="119"/>
    </x:row>
    <x:row r="44">
      <x:c r="A44" s="119"/>
      <x:c r="B44" s="119"/>
      <x:c r="C44" s="119"/>
      <x:c r="D44" s="119"/>
      <x:c r="E44" s="119"/>
      <x:c r="F44" s="119"/>
      <x:c r="G44" s="119"/>
      <x:c r="H44" s="119"/>
      <x:c r="I44" s="119"/>
      <x:c r="J44" s="119"/>
      <x:c r="K44" s="119"/>
      <x:c r="L44" s="119"/>
      <x:c r="M44" s="119"/>
      <x:c r="N44" s="119"/>
      <x:c r="O44" s="119"/>
      <x:c r="P44" s="119"/>
    </x:row>
    <x:row r="45">
      <x:c r="A45" s="119"/>
      <x:c r="B45" s="119"/>
      <x:c r="C45" s="119"/>
      <x:c r="D45" s="119"/>
      <x:c r="E45" s="119"/>
      <x:c r="F45" s="119"/>
      <x:c r="G45" s="119"/>
      <x:c r="H45" s="119"/>
      <x:c r="I45" s="119"/>
      <x:c r="J45" s="119"/>
      <x:c r="K45" s="119"/>
      <x:c r="L45" s="119"/>
      <x:c r="M45" s="119"/>
      <x:c r="N45" s="119"/>
      <x:c r="O45" s="119"/>
      <x:c r="P45" s="119"/>
    </x:row>
    <x:row r="46">
      <x:c r="A46" s="119"/>
      <x:c r="B46" s="119"/>
      <x:c r="C46" s="119"/>
      <x:c r="D46" s="119"/>
      <x:c r="E46" s="119"/>
      <x:c r="F46" s="119"/>
      <x:c r="G46" s="119"/>
      <x:c r="H46" s="119"/>
      <x:c r="I46" s="119"/>
      <x:c r="J46" s="119"/>
      <x:c r="K46" s="119"/>
      <x:c r="L46" s="119"/>
      <x:c r="M46" s="119"/>
      <x:c r="N46" s="119"/>
      <x:c r="O46" s="119"/>
      <x:c r="P46" s="119"/>
    </x:row>
    <x:row r="47">
      <x:c r="A47" s="119"/>
      <x:c r="B47" s="119"/>
      <x:c r="C47" s="119"/>
      <x:c r="D47" s="119"/>
      <x:c r="E47" s="119"/>
      <x:c r="F47" s="119"/>
      <x:c r="G47" s="119"/>
      <x:c r="H47" s="119"/>
      <x:c r="I47" s="119"/>
      <x:c r="J47" s="119"/>
      <x:c r="K47" s="119"/>
      <x:c r="L47" s="119"/>
      <x:c r="M47" s="119"/>
      <x:c r="N47" s="119"/>
      <x:c r="O47" s="119"/>
      <x:c r="P47" s="119"/>
    </x:row>
    <x:row r="48">
      <x:c r="A48" s="119"/>
      <x:c r="B48" s="119"/>
      <x:c r="C48" s="119"/>
      <x:c r="D48" s="119"/>
      <x:c r="E48" s="119"/>
      <x:c r="F48" s="119"/>
      <x:c r="G48" s="119"/>
      <x:c r="H48" s="119"/>
      <x:c r="I48" s="119"/>
      <x:c r="J48" s="119"/>
      <x:c r="K48" s="119"/>
      <x:c r="L48" s="119"/>
      <x:c r="M48" s="119"/>
      <x:c r="N48" s="119"/>
      <x:c r="O48" s="119"/>
      <x:c r="P48" s="119"/>
    </x:row>
    <x:row r="49">
      <x:c r="A49" s="119"/>
      <x:c r="B49" s="119"/>
      <x:c r="C49" s="119"/>
      <x:c r="D49" s="119"/>
      <x:c r="E49" s="119"/>
      <x:c r="F49" s="119"/>
      <x:c r="G49" s="119"/>
      <x:c r="H49" s="119"/>
      <x:c r="I49" s="119"/>
      <x:c r="J49" s="119"/>
      <x:c r="K49" s="119"/>
      <x:c r="L49" s="119"/>
      <x:c r="M49" s="119"/>
      <x:c r="N49" s="119"/>
      <x:c r="O49" s="119"/>
      <x:c r="P49" s="119"/>
    </x:row>
    <x:row r="50">
      <x:c r="A50" s="119"/>
      <x:c r="B50" s="119"/>
      <x:c r="C50" s="119"/>
      <x:c r="D50" s="119"/>
      <x:c r="E50" s="119"/>
      <x:c r="F50" s="119"/>
      <x:c r="G50" s="119"/>
      <x:c r="H50" s="119"/>
      <x:c r="I50" s="119"/>
      <x:c r="J50" s="119"/>
      <x:c r="K50" s="119"/>
      <x:c r="L50" s="119"/>
      <x:c r="M50" s="119"/>
      <x:c r="N50" s="119"/>
      <x:c r="O50" s="119"/>
      <x:c r="P50" s="119"/>
    </x:row>
    <x:row r="51">
      <x:c r="A51" s="119"/>
      <x:c r="B51" s="119"/>
      <x:c r="C51" s="119"/>
      <x:c r="D51" s="119"/>
      <x:c r="E51" s="119"/>
      <x:c r="F51" s="119"/>
      <x:c r="G51" s="119"/>
      <x:c r="H51" s="119"/>
      <x:c r="I51" s="119"/>
      <x:c r="J51" s="119"/>
      <x:c r="K51" s="119"/>
      <x:c r="L51" s="119"/>
      <x:c r="M51" s="119"/>
      <x:c r="N51" s="119"/>
      <x:c r="O51" s="119"/>
      <x:c r="P51" s="119"/>
    </x:row>
    <x:row r="52">
      <x:c r="A52" s="119"/>
      <x:c r="B52" s="119"/>
      <x:c r="C52" s="119"/>
      <x:c r="D52" s="119"/>
      <x:c r="E52" s="119"/>
      <x:c r="F52" s="119"/>
      <x:c r="G52" s="119"/>
      <x:c r="H52" s="119"/>
      <x:c r="I52" s="119"/>
      <x:c r="J52" s="119"/>
      <x:c r="K52" s="119"/>
      <x:c r="L52" s="119"/>
      <x:c r="M52" s="119"/>
      <x:c r="N52" s="119"/>
      <x:c r="O52" s="119"/>
      <x:c r="P52" s="119"/>
    </x:row>
    <x:row r="53">
      <x:c r="A53" s="119"/>
      <x:c r="B53" s="119"/>
      <x:c r="C53" s="119"/>
      <x:c r="D53" s="119"/>
      <x:c r="E53" s="119"/>
      <x:c r="F53" s="119"/>
      <x:c r="G53" s="119"/>
      <x:c r="H53" s="119"/>
      <x:c r="I53" s="119"/>
      <x:c r="J53" s="119"/>
      <x:c r="K53" s="119"/>
      <x:c r="L53" s="119"/>
      <x:c r="M53" s="119"/>
      <x:c r="N53" s="119"/>
      <x:c r="O53" s="119"/>
      <x:c r="P53" s="119"/>
    </x:row>
    <x:row r="54">
      <x:c r="A54" s="119"/>
      <x:c r="B54" s="119"/>
      <x:c r="C54" s="119"/>
      <x:c r="D54" s="119"/>
      <x:c r="E54" s="119"/>
      <x:c r="F54" s="119"/>
      <x:c r="G54" s="119"/>
      <x:c r="H54" s="119"/>
      <x:c r="I54" s="119"/>
      <x:c r="J54" s="119"/>
      <x:c r="K54" s="119"/>
      <x:c r="L54" s="119"/>
      <x:c r="M54" s="119"/>
      <x:c r="N54" s="119"/>
      <x:c r="O54" s="119"/>
      <x:c r="P54" s="119"/>
    </x:row>
    <x:row r="55">
      <x:c r="A55" s="119"/>
      <x:c r="B55" s="119"/>
      <x:c r="C55" s="119"/>
      <x:c r="D55" s="119"/>
      <x:c r="E55" s="119"/>
      <x:c r="F55" s="119"/>
      <x:c r="G55" s="119"/>
      <x:c r="H55" s="119"/>
      <x:c r="I55" s="119"/>
      <x:c r="J55" s="119"/>
      <x:c r="K55" s="119"/>
      <x:c r="L55" s="119"/>
      <x:c r="M55" s="119"/>
      <x:c r="N55" s="119"/>
      <x:c r="O55" s="119"/>
      <x:c r="P55" s="119"/>
    </x:row>
    <x:row r="56">
      <x:c r="A56" s="119"/>
      <x:c r="B56" s="119"/>
      <x:c r="C56" s="119"/>
      <x:c r="D56" s="119"/>
      <x:c r="E56" s="119"/>
      <x:c r="F56" s="119"/>
      <x:c r="G56" s="119"/>
      <x:c r="H56" s="119"/>
      <x:c r="I56" s="119"/>
      <x:c r="J56" s="119"/>
      <x:c r="K56" s="119"/>
      <x:c r="L56" s="119"/>
      <x:c r="M56" s="119"/>
      <x:c r="N56" s="119"/>
      <x:c r="O56" s="119"/>
      <x:c r="P56" s="119"/>
    </x:row>
    <x:row r="57">
      <x:c r="A57" s="119"/>
      <x:c r="B57" s="119"/>
      <x:c r="C57" s="119"/>
      <x:c r="D57" s="119"/>
      <x:c r="E57" s="119"/>
      <x:c r="F57" s="119"/>
      <x:c r="G57" s="119"/>
      <x:c r="H57" s="119"/>
      <x:c r="I57" s="119"/>
      <x:c r="J57" s="119"/>
      <x:c r="K57" s="119"/>
      <x:c r="L57" s="119"/>
      <x:c r="M57" s="119"/>
      <x:c r="N57" s="119"/>
      <x:c r="O57" s="119"/>
      <x:c r="P57" s="119"/>
    </x:row>
    <x:row r="58">
      <x:c r="A58" s="119"/>
      <x:c r="B58" s="119"/>
      <x:c r="C58" s="119"/>
      <x:c r="D58" s="119"/>
      <x:c r="E58" s="119"/>
      <x:c r="F58" s="119"/>
      <x:c r="G58" s="119"/>
      <x:c r="H58" s="119"/>
      <x:c r="I58" s="119"/>
      <x:c r="J58" s="119"/>
      <x:c r="K58" s="119"/>
      <x:c r="L58" s="119"/>
      <x:c r="M58" s="119"/>
      <x:c r="N58" s="119"/>
      <x:c r="O58" s="119"/>
      <x:c r="P58" s="119"/>
    </x:row>
    <x:row r="59">
      <x:c r="A59" s="119"/>
      <x:c r="B59" s="119"/>
      <x:c r="C59" s="119"/>
      <x:c r="D59" s="119"/>
      <x:c r="E59" s="119"/>
      <x:c r="F59" s="119"/>
      <x:c r="G59" s="119"/>
      <x:c r="H59" s="119"/>
      <x:c r="I59" s="119"/>
      <x:c r="J59" s="119"/>
      <x:c r="K59" s="119"/>
      <x:c r="L59" s="119"/>
      <x:c r="M59" s="119"/>
      <x:c r="N59" s="119"/>
      <x:c r="O59" s="119"/>
      <x:c r="P59" s="119"/>
    </x:row>
    <x:row r="60">
      <x:c r="A60" s="119"/>
      <x:c r="B60" s="119"/>
      <x:c r="C60" s="119"/>
      <x:c r="D60" s="119"/>
      <x:c r="E60" s="119"/>
      <x:c r="F60" s="119"/>
      <x:c r="G60" s="119"/>
      <x:c r="H60" s="119"/>
      <x:c r="I60" s="119"/>
      <x:c r="J60" s="119"/>
      <x:c r="K60" s="119"/>
      <x:c r="L60" s="119"/>
      <x:c r="M60" s="119"/>
      <x:c r="N60" s="119"/>
      <x:c r="O60" s="119"/>
      <x:c r="P60" s="119"/>
    </x:row>
    <x:row r="61">
      <x:c r="A61" s="119"/>
      <x:c r="B61" s="119"/>
      <x:c r="C61" s="119"/>
      <x:c r="D61" s="119"/>
      <x:c r="E61" s="119"/>
      <x:c r="F61" s="119"/>
      <x:c r="G61" s="119"/>
      <x:c r="H61" s="119"/>
      <x:c r="I61" s="119"/>
      <x:c r="J61" s="119"/>
      <x:c r="K61" s="119"/>
      <x:c r="L61" s="119"/>
      <x:c r="M61" s="119"/>
      <x:c r="N61" s="119"/>
      <x:c r="O61" s="119"/>
      <x:c r="P61" s="119"/>
    </x:row>
    <x:row r="62">
      <x:c r="A62" s="119"/>
      <x:c r="B62" s="119"/>
      <x:c r="C62" s="119"/>
      <x:c r="D62" s="119"/>
      <x:c r="E62" s="119"/>
      <x:c r="F62" s="119"/>
      <x:c r="G62" s="119"/>
      <x:c r="H62" s="119"/>
      <x:c r="I62" s="119"/>
      <x:c r="J62" s="119"/>
      <x:c r="K62" s="119"/>
      <x:c r="L62" s="119"/>
      <x:c r="M62" s="119"/>
      <x:c r="N62" s="119"/>
      <x:c r="O62" s="119"/>
      <x:c r="P62" s="119"/>
    </x:row>
    <x:row r="63">
      <x:c r="A63" s="119"/>
      <x:c r="B63" s="119"/>
      <x:c r="C63" s="119"/>
      <x:c r="D63" s="119"/>
      <x:c r="E63" s="119"/>
      <x:c r="F63" s="119"/>
      <x:c r="G63" s="119"/>
      <x:c r="H63" s="119"/>
      <x:c r="I63" s="119"/>
      <x:c r="J63" s="119"/>
      <x:c r="K63" s="119"/>
      <x:c r="L63" s="119"/>
      <x:c r="M63" s="119"/>
      <x:c r="N63" s="119"/>
      <x:c r="O63" s="119"/>
      <x:c r="P63" s="119"/>
    </x:row>
    <x:row r="64">
      <x:c r="A64" s="119"/>
      <x:c r="B64" s="119"/>
      <x:c r="C64" s="119"/>
      <x:c r="D64" s="119"/>
      <x:c r="E64" s="119"/>
      <x:c r="F64" s="119"/>
      <x:c r="G64" s="119"/>
      <x:c r="H64" s="119"/>
      <x:c r="I64" s="119"/>
      <x:c r="J64" s="119"/>
      <x:c r="K64" s="119"/>
      <x:c r="L64" s="119"/>
      <x:c r="M64" s="119"/>
      <x:c r="N64" s="119"/>
      <x:c r="O64" s="119"/>
      <x:c r="P64" s="119"/>
    </x:row>
    <x:row r="65">
      <x:c r="A65" s="119"/>
      <x:c r="B65" s="119"/>
      <x:c r="C65" s="119"/>
      <x:c r="D65" s="119"/>
      <x:c r="E65" s="119"/>
      <x:c r="F65" s="119"/>
      <x:c r="G65" s="119"/>
      <x:c r="H65" s="119"/>
      <x:c r="I65" s="119"/>
      <x:c r="J65" s="119"/>
      <x:c r="K65" s="119"/>
      <x:c r="L65" s="119"/>
      <x:c r="M65" s="119"/>
      <x:c r="N65" s="119"/>
      <x:c r="O65" s="119"/>
      <x:c r="P65" s="119"/>
    </x:row>
    <x:row r="66">
      <x:c r="A66" s="119"/>
      <x:c r="B66" s="119"/>
      <x:c r="C66" s="119"/>
      <x:c r="D66" s="119"/>
      <x:c r="E66" s="119"/>
      <x:c r="F66" s="119"/>
      <x:c r="G66" s="119"/>
      <x:c r="H66" s="119"/>
      <x:c r="I66" s="119"/>
      <x:c r="J66" s="119"/>
      <x:c r="K66" s="119"/>
      <x:c r="L66" s="119"/>
      <x:c r="M66" s="119"/>
      <x:c r="N66" s="119"/>
      <x:c r="O66" s="119"/>
      <x:c r="P66" s="119"/>
    </x:row>
    <x:row r="67">
      <x:c r="A67" s="119"/>
      <x:c r="B67" s="119"/>
      <x:c r="C67" s="119"/>
      <x:c r="D67" s="119"/>
      <x:c r="E67" s="119"/>
      <x:c r="F67" s="119"/>
      <x:c r="G67" s="119"/>
      <x:c r="H67" s="119"/>
      <x:c r="I67" s="119"/>
      <x:c r="J67" s="119"/>
      <x:c r="K67" s="119"/>
      <x:c r="L67" s="119"/>
      <x:c r="M67" s="119"/>
      <x:c r="N67" s="119"/>
      <x:c r="O67" s="119"/>
      <x:c r="P67" s="119"/>
    </x:row>
    <x:row r="68">
      <x:c r="A68" s="119"/>
      <x:c r="B68" s="119"/>
      <x:c r="C68" s="119"/>
      <x:c r="D68" s="119"/>
      <x:c r="E68" s="119"/>
      <x:c r="F68" s="119"/>
      <x:c r="G68" s="119"/>
      <x:c r="H68" s="119"/>
      <x:c r="I68" s="119"/>
      <x:c r="J68" s="119"/>
      <x:c r="K68" s="119"/>
      <x:c r="L68" s="119"/>
      <x:c r="M68" s="119"/>
      <x:c r="N68" s="119"/>
      <x:c r="O68" s="119"/>
      <x:c r="P68" s="119"/>
    </x:row>
    <x:row r="69">
      <x:c r="A69" s="119"/>
      <x:c r="B69" s="119"/>
      <x:c r="C69" s="119"/>
      <x:c r="D69" s="119"/>
      <x:c r="E69" s="119"/>
      <x:c r="F69" s="119"/>
      <x:c r="G69" s="119"/>
      <x:c r="H69" s="119"/>
      <x:c r="I69" s="119"/>
      <x:c r="J69" s="119"/>
      <x:c r="K69" s="119"/>
      <x:c r="L69" s="119"/>
      <x:c r="M69" s="119"/>
      <x:c r="N69" s="119"/>
      <x:c r="O69" s="119"/>
      <x:c r="P69" s="119"/>
    </x:row>
    <x:row r="70">
      <x:c r="A70" s="119"/>
      <x:c r="B70" s="119"/>
      <x:c r="C70" s="119"/>
      <x:c r="D70" s="119"/>
      <x:c r="E70" s="119"/>
      <x:c r="F70" s="119"/>
      <x:c r="G70" s="119"/>
      <x:c r="H70" s="119"/>
      <x:c r="I70" s="119"/>
      <x:c r="J70" s="119"/>
      <x:c r="K70" s="119"/>
      <x:c r="L70" s="119"/>
      <x:c r="M70" s="119"/>
      <x:c r="N70" s="119"/>
      <x:c r="O70" s="119"/>
      <x:c r="P70" s="119"/>
    </x:row>
    <x:row r="71">
      <x:c r="A71" s="119"/>
      <x:c r="B71" s="119"/>
      <x:c r="C71" s="119"/>
      <x:c r="D71" s="119"/>
      <x:c r="E71" s="119"/>
      <x:c r="F71" s="119"/>
      <x:c r="G71" s="119"/>
      <x:c r="H71" s="119"/>
      <x:c r="I71" s="119"/>
      <x:c r="J71" s="119"/>
      <x:c r="K71" s="119"/>
      <x:c r="L71" s="119"/>
      <x:c r="M71" s="119"/>
      <x:c r="N71" s="119"/>
      <x:c r="O71" s="119"/>
      <x:c r="P71" s="119"/>
    </x:row>
    <x:row r="72">
      <x:c r="A72" s="119"/>
      <x:c r="B72" s="119"/>
      <x:c r="C72" s="119"/>
      <x:c r="D72" s="119"/>
      <x:c r="E72" s="119"/>
      <x:c r="F72" s="119"/>
      <x:c r="G72" s="119"/>
      <x:c r="H72" s="119"/>
      <x:c r="I72" s="119"/>
      <x:c r="J72" s="119"/>
      <x:c r="K72" s="119"/>
      <x:c r="L72" s="119"/>
      <x:c r="M72" s="119"/>
      <x:c r="N72" s="119"/>
      <x:c r="O72" s="119"/>
      <x:c r="P72" s="119"/>
    </x:row>
    <x:row r="73">
      <x:c r="A73" s="119"/>
      <x:c r="B73" s="119"/>
      <x:c r="C73" s="119"/>
      <x:c r="D73" s="119"/>
      <x:c r="E73" s="119"/>
      <x:c r="F73" s="119"/>
      <x:c r="G73" s="119"/>
      <x:c r="H73" s="119"/>
      <x:c r="I73" s="119"/>
      <x:c r="J73" s="119"/>
      <x:c r="K73" s="119"/>
      <x:c r="L73" s="119"/>
      <x:c r="M73" s="119"/>
      <x:c r="N73" s="119"/>
      <x:c r="O73" s="119"/>
      <x:c r="P73" s="119"/>
    </x:row>
    <x:row r="74">
      <x:c r="A74" s="119"/>
      <x:c r="B74" s="119"/>
      <x:c r="C74" s="119"/>
      <x:c r="D74" s="119"/>
      <x:c r="E74" s="119"/>
      <x:c r="F74" s="119"/>
      <x:c r="G74" s="119"/>
      <x:c r="H74" s="119"/>
      <x:c r="I74" s="119"/>
      <x:c r="J74" s="119"/>
      <x:c r="K74" s="119"/>
      <x:c r="L74" s="119"/>
      <x:c r="M74" s="119"/>
      <x:c r="N74" s="119"/>
      <x:c r="O74" s="119"/>
      <x:c r="P74" s="119"/>
    </x:row>
    <x:row r="75">
      <x:c r="A75" s="119"/>
      <x:c r="B75" s="119"/>
      <x:c r="C75" s="119"/>
      <x:c r="D75" s="119"/>
      <x:c r="E75" s="119"/>
      <x:c r="F75" s="119"/>
      <x:c r="G75" s="119"/>
      <x:c r="H75" s="119"/>
      <x:c r="I75" s="119"/>
      <x:c r="J75" s="119"/>
      <x:c r="K75" s="119"/>
      <x:c r="L75" s="119"/>
      <x:c r="M75" s="119"/>
      <x:c r="N75" s="119"/>
      <x:c r="O75" s="119"/>
      <x:c r="P75" s="119"/>
    </x:row>
    <x:row r="76">
      <x:c r="A76" s="119"/>
      <x:c r="B76" s="119"/>
      <x:c r="C76" s="119"/>
      <x:c r="D76" s="119"/>
      <x:c r="E76" s="119"/>
      <x:c r="F76" s="119"/>
      <x:c r="G76" s="119"/>
      <x:c r="H76" s="119"/>
      <x:c r="I76" s="119"/>
      <x:c r="J76" s="119"/>
      <x:c r="K76" s="119"/>
      <x:c r="L76" s="119"/>
      <x:c r="M76" s="119"/>
      <x:c r="N76" s="119"/>
      <x:c r="O76" s="119"/>
      <x:c r="P76" s="119"/>
    </x:row>
    <x:row r="77">
      <x:c r="A77" s="119"/>
      <x:c r="B77" s="119"/>
      <x:c r="C77" s="119"/>
      <x:c r="D77" s="119"/>
      <x:c r="E77" s="119"/>
      <x:c r="F77" s="119"/>
      <x:c r="G77" s="119"/>
      <x:c r="H77" s="119"/>
      <x:c r="I77" s="119"/>
      <x:c r="J77" s="119"/>
      <x:c r="K77" s="119"/>
      <x:c r="L77" s="119"/>
      <x:c r="M77" s="119"/>
      <x:c r="N77" s="119"/>
      <x:c r="O77" s="119"/>
      <x:c r="P77" s="119"/>
    </x:row>
    <x:row r="78">
      <x:c r="A78" s="119"/>
      <x:c r="B78" s="119"/>
      <x:c r="C78" s="119"/>
      <x:c r="D78" s="119"/>
      <x:c r="E78" s="119"/>
      <x:c r="F78" s="119"/>
      <x:c r="G78" s="119"/>
      <x:c r="H78" s="119"/>
      <x:c r="I78" s="119"/>
      <x:c r="J78" s="119"/>
      <x:c r="K78" s="119"/>
      <x:c r="L78" s="119"/>
      <x:c r="M78" s="119"/>
      <x:c r="N78" s="119"/>
      <x:c r="O78" s="119"/>
      <x:c r="P78" s="119"/>
    </x:row>
    <x:row r="79">
      <x:c r="A79" s="119"/>
      <x:c r="B79" s="119"/>
      <x:c r="C79" s="119"/>
      <x:c r="D79" s="119"/>
      <x:c r="E79" s="119"/>
      <x:c r="F79" s="119"/>
      <x:c r="G79" s="119"/>
      <x:c r="H79" s="119"/>
      <x:c r="I79" s="119"/>
      <x:c r="J79" s="119"/>
      <x:c r="K79" s="119"/>
      <x:c r="L79" s="119"/>
      <x:c r="M79" s="119"/>
      <x:c r="N79" s="119"/>
      <x:c r="O79" s="119"/>
      <x:c r="P79" s="119"/>
    </x:row>
    <x:row r="80">
      <x:c r="A80" s="119"/>
      <x:c r="B80" s="119"/>
      <x:c r="C80" s="119"/>
      <x:c r="D80" s="119"/>
      <x:c r="E80" s="119"/>
      <x:c r="F80" s="119"/>
      <x:c r="G80" s="119"/>
      <x:c r="H80" s="119"/>
      <x:c r="I80" s="119"/>
      <x:c r="J80" s="119"/>
      <x:c r="K80" s="119"/>
      <x:c r="L80" s="119"/>
      <x:c r="M80" s="119"/>
      <x:c r="N80" s="119"/>
      <x:c r="O80" s="119"/>
      <x:c r="P80" s="119"/>
    </x:row>
    <x:row r="81">
      <x:c r="A81" s="119"/>
      <x:c r="B81" s="119"/>
      <x:c r="C81" s="119"/>
      <x:c r="D81" s="119"/>
      <x:c r="E81" s="119"/>
      <x:c r="F81" s="119"/>
      <x:c r="G81" s="119"/>
      <x:c r="H81" s="119"/>
      <x:c r="I81" s="119"/>
      <x:c r="J81" s="119"/>
      <x:c r="K81" s="119"/>
      <x:c r="L81" s="119"/>
      <x:c r="M81" s="119"/>
      <x:c r="N81" s="119"/>
      <x:c r="O81" s="119"/>
      <x:c r="P81" s="119"/>
    </x:row>
    <x:row r="82">
      <x:c r="A82" s="119"/>
      <x:c r="B82" s="119"/>
      <x:c r="C82" s="119"/>
      <x:c r="D82" s="119"/>
      <x:c r="E82" s="119"/>
      <x:c r="F82" s="119"/>
      <x:c r="G82" s="119"/>
      <x:c r="H82" s="119"/>
      <x:c r="I82" s="119"/>
      <x:c r="J82" s="119"/>
      <x:c r="K82" s="119"/>
      <x:c r="L82" s="119"/>
      <x:c r="M82" s="119"/>
      <x:c r="N82" s="119"/>
      <x:c r="O82" s="119"/>
      <x:c r="P82" s="119"/>
    </x:row>
    <x:row r="83">
      <x:c r="A83" s="119"/>
      <x:c r="B83" s="119"/>
      <x:c r="C83" s="119"/>
      <x:c r="D83" s="119"/>
      <x:c r="E83" s="119"/>
      <x:c r="F83" s="119"/>
      <x:c r="G83" s="119"/>
      <x:c r="H83" s="119"/>
      <x:c r="I83" s="119"/>
      <x:c r="J83" s="119"/>
      <x:c r="K83" s="119"/>
      <x:c r="L83" s="119"/>
      <x:c r="M83" s="119"/>
      <x:c r="N83" s="119"/>
      <x:c r="O83" s="119"/>
      <x:c r="P83" s="119"/>
    </x:row>
    <x:row r="84">
      <x:c r="A84" s="119"/>
      <x:c r="B84" s="119"/>
      <x:c r="C84" s="119"/>
      <x:c r="D84" s="119"/>
      <x:c r="E84" s="119"/>
      <x:c r="F84" s="119"/>
      <x:c r="G84" s="119"/>
      <x:c r="H84" s="119"/>
      <x:c r="I84" s="119"/>
      <x:c r="J84" s="119"/>
      <x:c r="K84" s="119"/>
      <x:c r="L84" s="119"/>
      <x:c r="M84" s="119"/>
      <x:c r="N84" s="119"/>
      <x:c r="O84" s="119"/>
      <x:c r="P84" s="119"/>
    </x:row>
    <x:row r="85">
      <x:c r="A85" s="119"/>
      <x:c r="B85" s="119"/>
      <x:c r="C85" s="119"/>
      <x:c r="D85" s="119"/>
      <x:c r="E85" s="119"/>
      <x:c r="F85" s="119"/>
      <x:c r="G85" s="119"/>
      <x:c r="H85" s="119"/>
      <x:c r="I85" s="119"/>
      <x:c r="J85" s="119"/>
      <x:c r="K85" s="119"/>
      <x:c r="L85" s="119"/>
      <x:c r="M85" s="119"/>
      <x:c r="N85" s="119"/>
      <x:c r="O85" s="119"/>
      <x:c r="P85" s="119"/>
    </x:row>
    <x:row r="86">
      <x:c r="A86" s="119"/>
      <x:c r="B86" s="119"/>
      <x:c r="C86" s="119"/>
      <x:c r="D86" s="119"/>
      <x:c r="E86" s="119"/>
      <x:c r="F86" s="119"/>
      <x:c r="G86" s="119"/>
      <x:c r="H86" s="119"/>
      <x:c r="I86" s="119"/>
      <x:c r="J86" s="119"/>
      <x:c r="K86" s="119"/>
      <x:c r="L86" s="119"/>
      <x:c r="M86" s="119"/>
      <x:c r="N86" s="119"/>
      <x:c r="O86" s="119"/>
      <x:c r="P86" s="119"/>
    </x:row>
    <x:row r="87">
      <x:c r="A87" s="119"/>
      <x:c r="B87" s="119"/>
      <x:c r="C87" s="119"/>
      <x:c r="D87" s="119"/>
      <x:c r="E87" s="119"/>
      <x:c r="F87" s="119"/>
      <x:c r="G87" s="119"/>
      <x:c r="H87" s="119"/>
      <x:c r="I87" s="119"/>
      <x:c r="J87" s="119"/>
      <x:c r="K87" s="119"/>
      <x:c r="L87" s="119"/>
      <x:c r="M87" s="119"/>
      <x:c r="N87" s="119"/>
      <x:c r="O87" s="119"/>
      <x:c r="P87" s="119"/>
    </x:row>
    <x:row r="88">
      <x:c r="A88" s="119"/>
      <x:c r="B88" s="119"/>
      <x:c r="C88" s="119"/>
      <x:c r="D88" s="119"/>
      <x:c r="E88" s="119"/>
      <x:c r="F88" s="119"/>
      <x:c r="G88" s="119"/>
      <x:c r="H88" s="119"/>
      <x:c r="I88" s="119"/>
      <x:c r="J88" s="119"/>
      <x:c r="K88" s="119"/>
      <x:c r="L88" s="119"/>
      <x:c r="M88" s="119"/>
      <x:c r="N88" s="119"/>
      <x:c r="O88" s="119"/>
      <x:c r="P88" s="119"/>
    </x:row>
    <x:row r="89">
      <x:c r="A89" s="119"/>
      <x:c r="B89" s="119"/>
      <x:c r="C89" s="119"/>
      <x:c r="D89" s="119"/>
      <x:c r="E89" s="119"/>
      <x:c r="F89" s="119"/>
      <x:c r="G89" s="119"/>
      <x:c r="H89" s="119"/>
      <x:c r="I89" s="119"/>
      <x:c r="J89" s="119"/>
      <x:c r="K89" s="119"/>
      <x:c r="L89" s="119"/>
      <x:c r="M89" s="119"/>
      <x:c r="N89" s="119"/>
      <x:c r="O89" s="119"/>
      <x:c r="P89" s="119"/>
    </x:row>
    <x:row r="90">
      <x:c r="A90" s="119"/>
      <x:c r="B90" s="119"/>
      <x:c r="C90" s="119"/>
      <x:c r="D90" s="119"/>
      <x:c r="E90" s="119"/>
      <x:c r="F90" s="119"/>
      <x:c r="G90" s="119"/>
      <x:c r="H90" s="119"/>
      <x:c r="I90" s="119"/>
      <x:c r="J90" s="119"/>
      <x:c r="K90" s="119"/>
      <x:c r="L90" s="119"/>
      <x:c r="M90" s="119"/>
      <x:c r="N90" s="119"/>
      <x:c r="O90" s="119"/>
      <x:c r="P90" s="119"/>
    </x:row>
    <x:row r="91">
      <x:c r="A91" s="119"/>
      <x:c r="B91" s="119"/>
      <x:c r="C91" s="119"/>
      <x:c r="D91" s="119"/>
      <x:c r="E91" s="119"/>
      <x:c r="F91" s="119"/>
      <x:c r="G91" s="119"/>
      <x:c r="H91" s="119"/>
      <x:c r="I91" s="119"/>
      <x:c r="J91" s="119"/>
      <x:c r="K91" s="119"/>
      <x:c r="L91" s="119"/>
      <x:c r="M91" s="119"/>
      <x:c r="N91" s="119"/>
      <x:c r="O91" s="119"/>
      <x:c r="P91" s="119"/>
    </x:row>
    <x:row r="92">
      <x:c r="A92" s="119"/>
      <x:c r="B92" s="119"/>
      <x:c r="C92" s="119"/>
      <x:c r="D92" s="119"/>
      <x:c r="E92" s="119"/>
      <x:c r="F92" s="119"/>
      <x:c r="G92" s="119"/>
      <x:c r="H92" s="119"/>
      <x:c r="I92" s="119"/>
      <x:c r="J92" s="119"/>
      <x:c r="K92" s="119"/>
      <x:c r="L92" s="119"/>
      <x:c r="M92" s="119"/>
      <x:c r="N92" s="119"/>
      <x:c r="O92" s="119"/>
      <x:c r="P92" s="119"/>
    </x:row>
    <x:row r="93">
      <x:c r="A93" s="119"/>
      <x:c r="B93" s="119"/>
      <x:c r="C93" s="119"/>
      <x:c r="D93" s="119"/>
      <x:c r="E93" s="119"/>
      <x:c r="F93" s="119"/>
      <x:c r="G93" s="119"/>
      <x:c r="H93" s="119"/>
      <x:c r="I93" s="119"/>
      <x:c r="J93" s="119"/>
      <x:c r="K93" s="119"/>
      <x:c r="L93" s="119"/>
      <x:c r="M93" s="119"/>
      <x:c r="N93" s="119"/>
      <x:c r="O93" s="119"/>
      <x:c r="P93" s="119"/>
    </x:row>
    <x:row r="94">
      <x:c r="A94" s="119"/>
      <x:c r="B94" s="119"/>
      <x:c r="C94" s="119"/>
      <x:c r="D94" s="119"/>
      <x:c r="E94" s="119"/>
      <x:c r="F94" s="119"/>
      <x:c r="G94" s="119"/>
      <x:c r="H94" s="119"/>
      <x:c r="I94" s="119"/>
      <x:c r="J94" s="119"/>
      <x:c r="K94" s="119"/>
      <x:c r="L94" s="119"/>
      <x:c r="M94" s="119"/>
      <x:c r="N94" s="119"/>
      <x:c r="O94" s="119"/>
      <x:c r="P94" s="119"/>
    </x:row>
    <x:row r="95">
      <x:c r="A95" s="119"/>
      <x:c r="B95" s="119"/>
      <x:c r="C95" s="119"/>
      <x:c r="D95" s="119"/>
      <x:c r="E95" s="119"/>
      <x:c r="F95" s="119"/>
      <x:c r="G95" s="119"/>
      <x:c r="H95" s="119"/>
      <x:c r="I95" s="119"/>
      <x:c r="J95" s="119"/>
      <x:c r="K95" s="119"/>
      <x:c r="L95" s="119"/>
      <x:c r="M95" s="119"/>
      <x:c r="N95" s="119"/>
      <x:c r="O95" s="119"/>
      <x:c r="P95" s="119"/>
    </x:row>
    <x:row r="96">
      <x:c r="A96" s="119"/>
      <x:c r="B96" s="119"/>
      <x:c r="C96" s="119"/>
      <x:c r="D96" s="119"/>
      <x:c r="E96" s="119"/>
      <x:c r="F96" s="119"/>
      <x:c r="G96" s="119"/>
      <x:c r="H96" s="119"/>
      <x:c r="I96" s="119"/>
      <x:c r="J96" s="119"/>
      <x:c r="K96" s="119"/>
      <x:c r="L96" s="119"/>
      <x:c r="M96" s="119"/>
      <x:c r="N96" s="119"/>
      <x:c r="O96" s="119"/>
      <x:c r="P96" s="119"/>
    </x:row>
    <x:row r="97">
      <x:c r="A97" s="119"/>
      <x:c r="B97" s="119"/>
      <x:c r="C97" s="119"/>
      <x:c r="D97" s="119"/>
      <x:c r="E97" s="119"/>
      <x:c r="F97" s="119"/>
      <x:c r="G97" s="119"/>
      <x:c r="H97" s="119"/>
      <x:c r="I97" s="119"/>
      <x:c r="J97" s="119"/>
      <x:c r="K97" s="119"/>
      <x:c r="L97" s="119"/>
      <x:c r="M97" s="119"/>
      <x:c r="N97" s="119"/>
      <x:c r="O97" s="119"/>
      <x:c r="P97" s="119"/>
    </x:row>
    <x:row r="98">
      <x:c r="A98" s="119"/>
      <x:c r="B98" s="119"/>
      <x:c r="C98" s="119"/>
      <x:c r="D98" s="119"/>
      <x:c r="E98" s="119"/>
      <x:c r="F98" s="119"/>
      <x:c r="G98" s="119"/>
      <x:c r="H98" s="119"/>
      <x:c r="I98" s="119"/>
      <x:c r="J98" s="119"/>
      <x:c r="K98" s="119"/>
      <x:c r="L98" s="119"/>
      <x:c r="M98" s="119"/>
      <x:c r="N98" s="119"/>
      <x:c r="O98" s="119"/>
      <x:c r="P98" s="119"/>
    </x:row>
    <x:row r="99">
      <x:c r="A99" s="119"/>
      <x:c r="B99" s="119"/>
      <x:c r="C99" s="119"/>
      <x:c r="D99" s="119"/>
      <x:c r="E99" s="119"/>
      <x:c r="F99" s="119"/>
      <x:c r="G99" s="119"/>
      <x:c r="H99" s="119"/>
      <x:c r="I99" s="119"/>
      <x:c r="J99" s="119"/>
      <x:c r="K99" s="119"/>
      <x:c r="L99" s="119"/>
      <x:c r="M99" s="119"/>
      <x:c r="N99" s="119"/>
      <x:c r="O99" s="119"/>
      <x:c r="P99" s="119"/>
    </x:row>
    <x:row r="100">
      <x:c r="A100" s="119"/>
      <x:c r="B100" s="119"/>
      <x:c r="C100" s="119"/>
      <x:c r="D100" s="119"/>
      <x:c r="E100" s="119"/>
      <x:c r="F100" s="119"/>
      <x:c r="G100" s="119"/>
      <x:c r="H100" s="119"/>
      <x:c r="I100" s="119"/>
      <x:c r="J100" s="119"/>
      <x:c r="K100" s="119"/>
      <x:c r="L100" s="119"/>
      <x:c r="M100" s="119"/>
      <x:c r="N100" s="119"/>
      <x:c r="O100" s="119"/>
      <x:c r="P100" s="119"/>
    </x:row>
    <x:row r="101">
      <x:c r="A101" s="119"/>
      <x:c r="B101" s="119"/>
      <x:c r="C101" s="119"/>
      <x:c r="D101" s="119"/>
      <x:c r="E101" s="119"/>
      <x:c r="F101" s="119"/>
      <x:c r="G101" s="119"/>
      <x:c r="H101" s="119"/>
      <x:c r="I101" s="119"/>
      <x:c r="J101" s="119"/>
      <x:c r="K101" s="119"/>
      <x:c r="L101" s="119"/>
      <x:c r="M101" s="119"/>
      <x:c r="N101" s="119"/>
      <x:c r="O101" s="119"/>
      <x:c r="P101" s="119"/>
    </x:row>
    <x:row r="102">
      <x:c r="A102" s="119"/>
      <x:c r="B102" s="119"/>
      <x:c r="C102" s="119"/>
      <x:c r="D102" s="119"/>
      <x:c r="E102" s="119"/>
      <x:c r="F102" s="119"/>
      <x:c r="G102" s="119"/>
      <x:c r="H102" s="119"/>
      <x:c r="I102" s="119"/>
      <x:c r="J102" s="119"/>
      <x:c r="K102" s="119"/>
      <x:c r="L102" s="119"/>
      <x:c r="M102" s="119"/>
      <x:c r="N102" s="119"/>
      <x:c r="O102" s="119"/>
      <x:c r="P102" s="119"/>
    </x:row>
    <x:row r="103">
      <x:c r="A103" s="119"/>
      <x:c r="B103" s="119"/>
      <x:c r="C103" s="119"/>
      <x:c r="D103" s="119"/>
      <x:c r="E103" s="119"/>
      <x:c r="F103" s="119"/>
      <x:c r="G103" s="119"/>
      <x:c r="H103" s="119"/>
      <x:c r="I103" s="119"/>
      <x:c r="J103" s="119"/>
      <x:c r="K103" s="119"/>
      <x:c r="L103" s="119"/>
      <x:c r="M103" s="119"/>
      <x:c r="N103" s="119"/>
      <x:c r="O103" s="119"/>
      <x:c r="P103" s="119"/>
    </x:row>
    <x:row r="104">
      <x:c r="A104" s="119"/>
      <x:c r="B104" s="119"/>
      <x:c r="C104" s="119"/>
      <x:c r="D104" s="119"/>
      <x:c r="E104" s="119"/>
      <x:c r="F104" s="119"/>
      <x:c r="G104" s="119"/>
      <x:c r="H104" s="119"/>
      <x:c r="I104" s="119"/>
      <x:c r="J104" s="119"/>
      <x:c r="K104" s="119"/>
      <x:c r="L104" s="119"/>
      <x:c r="M104" s="119"/>
      <x:c r="N104" s="119"/>
      <x:c r="O104" s="119"/>
      <x:c r="P104" s="119"/>
    </x:row>
    <x:row r="105">
      <x:c r="A105" s="119"/>
      <x:c r="B105" s="119"/>
      <x:c r="C105" s="119"/>
      <x:c r="D105" s="119"/>
      <x:c r="E105" s="119"/>
      <x:c r="F105" s="119"/>
      <x:c r="G105" s="119"/>
      <x:c r="H105" s="119"/>
      <x:c r="I105" s="119"/>
      <x:c r="J105" s="119"/>
      <x:c r="K105" s="119"/>
      <x:c r="L105" s="119"/>
      <x:c r="M105" s="119"/>
      <x:c r="N105" s="119"/>
      <x:c r="O105" s="119"/>
      <x:c r="P105" s="119"/>
    </x:row>
    <x:row r="106">
      <x:c r="A106" s="119"/>
      <x:c r="B106" s="119"/>
      <x:c r="C106" s="119"/>
      <x:c r="D106" s="119"/>
      <x:c r="E106" s="119"/>
      <x:c r="F106" s="119"/>
      <x:c r="G106" s="119"/>
      <x:c r="H106" s="119"/>
      <x:c r="I106" s="119"/>
      <x:c r="J106" s="119"/>
      <x:c r="K106" s="119"/>
      <x:c r="L106" s="119"/>
      <x:c r="M106" s="119"/>
      <x:c r="N106" s="119"/>
      <x:c r="O106" s="119"/>
      <x:c r="P106" s="119"/>
    </x:row>
    <x:row r="107">
      <x:c r="A107" s="119"/>
      <x:c r="B107" s="119"/>
      <x:c r="C107" s="119"/>
      <x:c r="D107" s="119"/>
      <x:c r="E107" s="119"/>
      <x:c r="F107" s="119"/>
      <x:c r="G107" s="119"/>
      <x:c r="H107" s="119"/>
      <x:c r="I107" s="119"/>
      <x:c r="J107" s="119"/>
      <x:c r="K107" s="119"/>
      <x:c r="L107" s="119"/>
      <x:c r="M107" s="119"/>
      <x:c r="N107" s="119"/>
      <x:c r="O107" s="119"/>
      <x:c r="P107" s="119"/>
    </x:row>
    <x:row r="108">
      <x:c r="A108" s="119"/>
      <x:c r="B108" s="119"/>
      <x:c r="C108" s="119"/>
      <x:c r="D108" s="119"/>
      <x:c r="E108" s="119"/>
      <x:c r="F108" s="119"/>
      <x:c r="G108" s="119"/>
      <x:c r="H108" s="119"/>
      <x:c r="I108" s="119"/>
      <x:c r="J108" s="119"/>
      <x:c r="K108" s="119"/>
      <x:c r="L108" s="119"/>
      <x:c r="M108" s="119"/>
      <x:c r="N108" s="119"/>
      <x:c r="O108" s="119"/>
      <x:c r="P108" s="119"/>
    </x:row>
    <x:row r="109">
      <x:c r="A109" s="119"/>
      <x:c r="B109" s="119"/>
      <x:c r="C109" s="119"/>
      <x:c r="D109" s="119"/>
      <x:c r="E109" s="119"/>
      <x:c r="F109" s="119"/>
      <x:c r="G109" s="119"/>
      <x:c r="H109" s="119"/>
      <x:c r="I109" s="119"/>
      <x:c r="J109" s="119"/>
      <x:c r="K109" s="119"/>
      <x:c r="L109" s="119"/>
      <x:c r="M109" s="119"/>
      <x:c r="N109" s="119"/>
      <x:c r="O109" s="119"/>
      <x:c r="P109" s="119"/>
    </x:row>
    <x:row r="110">
      <x:c r="A110" s="119"/>
      <x:c r="B110" s="119"/>
      <x:c r="C110" s="119"/>
      <x:c r="D110" s="119"/>
      <x:c r="E110" s="119"/>
      <x:c r="F110" s="119"/>
      <x:c r="G110" s="119"/>
      <x:c r="H110" s="119"/>
      <x:c r="I110" s="119"/>
      <x:c r="J110" s="119"/>
      <x:c r="K110" s="119"/>
      <x:c r="L110" s="119"/>
      <x:c r="M110" s="119"/>
      <x:c r="N110" s="119"/>
      <x:c r="O110" s="119"/>
      <x:c r="P110" s="119"/>
    </x:row>
    <x:row r="111">
      <x:c r="A111" s="119"/>
      <x:c r="B111" s="119"/>
      <x:c r="C111" s="119"/>
      <x:c r="D111" s="119"/>
      <x:c r="E111" s="119"/>
      <x:c r="F111" s="119"/>
      <x:c r="G111" s="119"/>
      <x:c r="H111" s="119"/>
      <x:c r="I111" s="119"/>
      <x:c r="J111" s="119"/>
      <x:c r="K111" s="119"/>
      <x:c r="L111" s="119"/>
      <x:c r="M111" s="119"/>
      <x:c r="N111" s="119"/>
      <x:c r="O111" s="119"/>
      <x:c r="P111" s="119"/>
    </x:row>
    <x:row r="112">
      <x:c r="A112" s="119"/>
      <x:c r="B112" s="119"/>
      <x:c r="C112" s="119"/>
      <x:c r="D112" s="119"/>
      <x:c r="E112" s="119"/>
      <x:c r="F112" s="119"/>
      <x:c r="G112" s="119"/>
      <x:c r="H112" s="119"/>
      <x:c r="I112" s="119"/>
      <x:c r="J112" s="119"/>
      <x:c r="K112" s="119"/>
      <x:c r="L112" s="119"/>
      <x:c r="M112" s="119"/>
      <x:c r="N112" s="119"/>
      <x:c r="O112" s="119"/>
      <x:c r="P112" s="119"/>
    </x:row>
    <x:row r="113">
      <x:c r="A113" s="119"/>
      <x:c r="B113" s="119"/>
      <x:c r="C113" s="119"/>
      <x:c r="D113" s="119"/>
      <x:c r="E113" s="119"/>
      <x:c r="F113" s="119"/>
      <x:c r="G113" s="119"/>
      <x:c r="H113" s="119"/>
      <x:c r="I113" s="119"/>
      <x:c r="J113" s="119"/>
      <x:c r="K113" s="119"/>
      <x:c r="L113" s="119"/>
      <x:c r="M113" s="119"/>
      <x:c r="N113" s="119"/>
      <x:c r="O113" s="119"/>
      <x:c r="P113" s="119"/>
    </x:row>
    <x:row r="114">
      <x:c r="A114" s="119"/>
      <x:c r="B114" s="119"/>
      <x:c r="C114" s="119"/>
      <x:c r="D114" s="119"/>
      <x:c r="E114" s="119"/>
      <x:c r="F114" s="119"/>
      <x:c r="G114" s="119"/>
      <x:c r="H114" s="119"/>
      <x:c r="I114" s="119"/>
      <x:c r="J114" s="119"/>
      <x:c r="K114" s="119"/>
      <x:c r="L114" s="119"/>
      <x:c r="M114" s="119"/>
      <x:c r="N114" s="119"/>
      <x:c r="O114" s="119"/>
      <x:c r="P114" s="119"/>
    </x:row>
    <x:row r="115">
      <x:c r="A115" s="119"/>
      <x:c r="B115" s="119"/>
      <x:c r="C115" s="119"/>
      <x:c r="D115" s="119"/>
      <x:c r="E115" s="119"/>
      <x:c r="F115" s="119"/>
      <x:c r="G115" s="119"/>
      <x:c r="H115" s="119"/>
      <x:c r="I115" s="119"/>
      <x:c r="J115" s="119"/>
      <x:c r="K115" s="119"/>
      <x:c r="L115" s="119"/>
      <x:c r="M115" s="119"/>
      <x:c r="N115" s="119"/>
      <x:c r="O115" s="119"/>
      <x:c r="P115" s="119"/>
    </x:row>
    <x:row r="116">
      <x:c r="A116" s="119"/>
      <x:c r="B116" s="119"/>
      <x:c r="C116" s="119"/>
      <x:c r="D116" s="119"/>
      <x:c r="E116" s="119"/>
      <x:c r="F116" s="119"/>
      <x:c r="G116" s="119"/>
      <x:c r="H116" s="119"/>
      <x:c r="I116" s="119"/>
      <x:c r="J116" s="119"/>
      <x:c r="K116" s="119"/>
      <x:c r="L116" s="119"/>
      <x:c r="M116" s="119"/>
      <x:c r="N116" s="119"/>
      <x:c r="O116" s="119"/>
      <x:c r="P116" s="119"/>
    </x:row>
    <x:row r="117">
      <x:c r="A117" s="119"/>
      <x:c r="B117" s="119"/>
      <x:c r="C117" s="119"/>
      <x:c r="D117" s="119"/>
      <x:c r="E117" s="119"/>
      <x:c r="F117" s="119"/>
      <x:c r="G117" s="119"/>
      <x:c r="H117" s="119"/>
      <x:c r="I117" s="119"/>
      <x:c r="J117" s="119"/>
      <x:c r="K117" s="119"/>
      <x:c r="L117" s="119"/>
      <x:c r="M117" s="119"/>
      <x:c r="N117" s="119"/>
      <x:c r="O117" s="119"/>
      <x:c r="P117" s="119"/>
    </x:row>
    <x:row r="118">
      <x:c r="A118" s="119"/>
      <x:c r="B118" s="119"/>
      <x:c r="C118" s="119"/>
      <x:c r="D118" s="119"/>
      <x:c r="E118" s="119"/>
      <x:c r="F118" s="119"/>
      <x:c r="G118" s="119"/>
      <x:c r="H118" s="119"/>
      <x:c r="I118" s="119"/>
      <x:c r="J118" s="119"/>
      <x:c r="K118" s="119"/>
      <x:c r="L118" s="119"/>
      <x:c r="M118" s="119"/>
      <x:c r="N118" s="119"/>
      <x:c r="O118" s="119"/>
      <x:c r="P118" s="119"/>
    </x:row>
    <x:row r="119">
      <x:c r="A119" s="119"/>
      <x:c r="B119" s="119"/>
      <x:c r="C119" s="119"/>
      <x:c r="D119" s="119"/>
      <x:c r="E119" s="119"/>
      <x:c r="F119" s="119"/>
      <x:c r="G119" s="119"/>
      <x:c r="H119" s="119"/>
      <x:c r="I119" s="119"/>
      <x:c r="J119" s="119"/>
      <x:c r="K119" s="119"/>
      <x:c r="L119" s="119"/>
      <x:c r="M119" s="119"/>
      <x:c r="N119" s="119"/>
      <x:c r="O119" s="119"/>
      <x:c r="P119" s="119"/>
    </x:row>
    <x:row r="120">
      <x:c r="A120" s="119"/>
      <x:c r="B120" s="119"/>
      <x:c r="C120" s="119"/>
      <x:c r="D120" s="119"/>
      <x:c r="E120" s="119"/>
      <x:c r="F120" s="119"/>
      <x:c r="G120" s="119"/>
      <x:c r="H120" s="119"/>
      <x:c r="I120" s="119"/>
      <x:c r="J120" s="119"/>
      <x:c r="K120" s="119"/>
      <x:c r="L120" s="119"/>
      <x:c r="M120" s="119"/>
      <x:c r="N120" s="119"/>
      <x:c r="O120" s="119"/>
      <x:c r="P120" s="119"/>
    </x:row>
    <x:row r="121">
      <x:c r="A121" s="119"/>
      <x:c r="B121" s="119"/>
      <x:c r="C121" s="119"/>
      <x:c r="D121" s="119"/>
      <x:c r="E121" s="119"/>
      <x:c r="F121" s="119"/>
      <x:c r="G121" s="119"/>
      <x:c r="H121" s="119"/>
      <x:c r="I121" s="119"/>
      <x:c r="J121" s="119"/>
      <x:c r="K121" s="119"/>
      <x:c r="L121" s="119"/>
      <x:c r="M121" s="119"/>
      <x:c r="N121" s="119"/>
      <x:c r="O121" s="119"/>
      <x:c r="P121" s="119"/>
    </x:row>
    <x:row r="122">
      <x:c r="A122" s="119"/>
      <x:c r="B122" s="119"/>
      <x:c r="C122" s="119"/>
      <x:c r="D122" s="119"/>
      <x:c r="E122" s="119"/>
      <x:c r="F122" s="119"/>
      <x:c r="G122" s="119"/>
      <x:c r="H122" s="119"/>
      <x:c r="I122" s="119"/>
      <x:c r="J122" s="119"/>
      <x:c r="K122" s="119"/>
      <x:c r="L122" s="119"/>
      <x:c r="M122" s="119"/>
      <x:c r="N122" s="119"/>
      <x:c r="O122" s="119"/>
      <x:c r="P122" s="119"/>
    </x:row>
    <x:row r="123">
      <x:c r="A123" s="119"/>
      <x:c r="B123" s="119"/>
      <x:c r="C123" s="119"/>
      <x:c r="D123" s="119"/>
      <x:c r="E123" s="119"/>
      <x:c r="F123" s="119"/>
      <x:c r="G123" s="119"/>
      <x:c r="H123" s="119"/>
      <x:c r="I123" s="119"/>
      <x:c r="J123" s="119"/>
      <x:c r="K123" s="119"/>
      <x:c r="L123" s="119"/>
      <x:c r="M123" s="119"/>
      <x:c r="N123" s="119"/>
      <x:c r="O123" s="119"/>
      <x:c r="P123" s="119"/>
    </x:row>
    <x:row r="124">
      <x:c r="A124" s="119"/>
      <x:c r="B124" s="119"/>
      <x:c r="C124" s="119"/>
      <x:c r="D124" s="119"/>
      <x:c r="E124" s="119"/>
      <x:c r="F124" s="119"/>
      <x:c r="G124" s="119"/>
      <x:c r="H124" s="119"/>
      <x:c r="I124" s="119"/>
      <x:c r="J124" s="119"/>
      <x:c r="K124" s="119"/>
      <x:c r="L124" s="119"/>
      <x:c r="M124" s="119"/>
      <x:c r="N124" s="119"/>
      <x:c r="O124" s="119"/>
      <x:c r="P124" s="119"/>
    </x:row>
    <x:row r="125">
      <x:c r="A125" s="119"/>
      <x:c r="B125" s="119"/>
      <x:c r="C125" s="119"/>
      <x:c r="D125" s="119"/>
      <x:c r="E125" s="119"/>
      <x:c r="F125" s="119"/>
      <x:c r="G125" s="119"/>
      <x:c r="H125" s="119"/>
      <x:c r="I125" s="119"/>
      <x:c r="J125" s="119"/>
      <x:c r="K125" s="119"/>
      <x:c r="L125" s="119"/>
      <x:c r="M125" s="119"/>
      <x:c r="N125" s="119"/>
      <x:c r="O125" s="119"/>
      <x:c r="P125" s="119"/>
    </x:row>
    <x:row r="126">
      <x:c r="A126" s="119"/>
      <x:c r="B126" s="119"/>
      <x:c r="C126" s="119"/>
      <x:c r="D126" s="119"/>
      <x:c r="E126" s="119"/>
      <x:c r="F126" s="119"/>
      <x:c r="G126" s="119"/>
      <x:c r="H126" s="119"/>
      <x:c r="I126" s="119"/>
      <x:c r="J126" s="119"/>
      <x:c r="K126" s="119"/>
      <x:c r="L126" s="119"/>
      <x:c r="M126" s="119"/>
      <x:c r="N126" s="119"/>
      <x:c r="O126" s="119"/>
      <x:c r="P126" s="119"/>
    </x:row>
    <x:row r="127">
      <x:c r="A127" s="119"/>
      <x:c r="B127" s="119"/>
      <x:c r="C127" s="119"/>
      <x:c r="D127" s="119"/>
      <x:c r="E127" s="119"/>
      <x:c r="F127" s="119"/>
      <x:c r="G127" s="119"/>
      <x:c r="H127" s="119"/>
      <x:c r="I127" s="119"/>
      <x:c r="J127" s="119"/>
      <x:c r="K127" s="119"/>
      <x:c r="L127" s="119"/>
      <x:c r="M127" s="119"/>
      <x:c r="N127" s="119"/>
      <x:c r="O127" s="119"/>
      <x:c r="P127" s="119"/>
    </x:row>
    <x:row r="128">
      <x:c r="A128" s="119"/>
      <x:c r="B128" s="119"/>
      <x:c r="C128" s="119"/>
      <x:c r="D128" s="119"/>
      <x:c r="E128" s="119"/>
      <x:c r="F128" s="119"/>
      <x:c r="G128" s="119"/>
      <x:c r="H128" s="119"/>
      <x:c r="I128" s="119"/>
      <x:c r="J128" s="119"/>
      <x:c r="K128" s="119"/>
      <x:c r="L128" s="119"/>
      <x:c r="M128" s="119"/>
      <x:c r="N128" s="119"/>
      <x:c r="O128" s="119"/>
      <x:c r="P128" s="119"/>
    </x:row>
    <x:row r="129">
      <x:c r="A129" s="119"/>
      <x:c r="B129" s="119"/>
      <x:c r="C129" s="119"/>
      <x:c r="D129" s="119"/>
      <x:c r="E129" s="119"/>
      <x:c r="F129" s="119"/>
      <x:c r="G129" s="119"/>
      <x:c r="H129" s="119"/>
      <x:c r="I129" s="119"/>
      <x:c r="J129" s="119"/>
      <x:c r="K129" s="119"/>
      <x:c r="L129" s="119"/>
      <x:c r="M129" s="119"/>
      <x:c r="N129" s="119"/>
      <x:c r="O129" s="119"/>
      <x:c r="P129" s="119"/>
    </x:row>
    <x:row r="130">
      <x:c r="A130" s="119"/>
      <x:c r="B130" s="119"/>
      <x:c r="C130" s="119"/>
      <x:c r="D130" s="119"/>
      <x:c r="E130" s="119"/>
      <x:c r="F130" s="119"/>
      <x:c r="G130" s="119"/>
      <x:c r="H130" s="119"/>
      <x:c r="I130" s="119"/>
      <x:c r="J130" s="119"/>
      <x:c r="K130" s="119"/>
      <x:c r="L130" s="119"/>
      <x:c r="M130" s="119"/>
      <x:c r="N130" s="119"/>
      <x:c r="O130" s="119"/>
      <x:c r="P130" s="119"/>
    </x:row>
    <x:row r="131">
      <x:c r="A131" s="119"/>
      <x:c r="B131" s="119"/>
      <x:c r="C131" s="119"/>
      <x:c r="D131" s="119"/>
      <x:c r="E131" s="119"/>
      <x:c r="F131" s="119"/>
      <x:c r="G131" s="119"/>
      <x:c r="H131" s="119"/>
      <x:c r="I131" s="119"/>
      <x:c r="J131" s="119"/>
      <x:c r="K131" s="119"/>
      <x:c r="L131" s="119"/>
      <x:c r="M131" s="119"/>
      <x:c r="N131" s="119"/>
      <x:c r="O131" s="119"/>
      <x:c r="P131" s="119"/>
    </x:row>
    <x:row r="132">
      <x:c r="A132" s="119"/>
      <x:c r="B132" s="119"/>
      <x:c r="C132" s="119"/>
      <x:c r="D132" s="119"/>
      <x:c r="E132" s="119"/>
      <x:c r="F132" s="119"/>
      <x:c r="G132" s="119"/>
      <x:c r="H132" s="119"/>
      <x:c r="I132" s="119"/>
      <x:c r="J132" s="119"/>
      <x:c r="K132" s="119"/>
      <x:c r="L132" s="119"/>
      <x:c r="M132" s="119"/>
      <x:c r="N132" s="119"/>
      <x:c r="O132" s="119"/>
      <x:c r="P132" s="119"/>
    </x:row>
    <x:row r="133">
      <x:c r="A133" s="119"/>
      <x:c r="B133" s="119"/>
      <x:c r="C133" s="119"/>
      <x:c r="D133" s="119"/>
      <x:c r="E133" s="119"/>
      <x:c r="F133" s="119"/>
      <x:c r="G133" s="119"/>
      <x:c r="H133" s="119"/>
      <x:c r="I133" s="119"/>
      <x:c r="J133" s="119"/>
      <x:c r="K133" s="119"/>
      <x:c r="L133" s="119"/>
      <x:c r="M133" s="119"/>
      <x:c r="N133" s="119"/>
      <x:c r="O133" s="119"/>
      <x:c r="P133" s="119"/>
    </x:row>
    <x:row r="134">
      <x:c r="A134" s="119"/>
      <x:c r="B134" s="119"/>
      <x:c r="C134" s="119"/>
      <x:c r="D134" s="119"/>
      <x:c r="E134" s="119"/>
      <x:c r="F134" s="119"/>
      <x:c r="G134" s="119"/>
      <x:c r="H134" s="119"/>
      <x:c r="I134" s="119"/>
      <x:c r="J134" s="119"/>
      <x:c r="K134" s="119"/>
      <x:c r="L134" s="119"/>
      <x:c r="M134" s="119"/>
      <x:c r="N134" s="119"/>
      <x:c r="O134" s="119"/>
      <x:c r="P134" s="119"/>
    </x:row>
    <x:row r="135">
      <x:c r="A135" s="119"/>
      <x:c r="B135" s="119"/>
      <x:c r="C135" s="119"/>
      <x:c r="D135" s="119"/>
      <x:c r="E135" s="119"/>
      <x:c r="F135" s="119"/>
      <x:c r="G135" s="119"/>
      <x:c r="H135" s="119"/>
      <x:c r="I135" s="119"/>
      <x:c r="J135" s="119"/>
      <x:c r="K135" s="119"/>
      <x:c r="L135" s="119"/>
      <x:c r="M135" s="119"/>
      <x:c r="N135" s="119"/>
      <x:c r="O135" s="119"/>
      <x:c r="P135" s="119"/>
    </x:row>
    <x:row r="136">
      <x:c r="A136" s="119"/>
      <x:c r="B136" s="119"/>
      <x:c r="C136" s="119"/>
      <x:c r="D136" s="119"/>
      <x:c r="E136" s="119"/>
      <x:c r="F136" s="119"/>
      <x:c r="G136" s="119"/>
      <x:c r="H136" s="119"/>
      <x:c r="I136" s="119"/>
      <x:c r="J136" s="119"/>
      <x:c r="K136" s="119"/>
      <x:c r="L136" s="119"/>
      <x:c r="M136" s="119"/>
      <x:c r="N136" s="119"/>
      <x:c r="O136" s="119"/>
      <x:c r="P136" s="119"/>
    </x:row>
    <x:row r="137">
      <x:c r="A137" s="119"/>
      <x:c r="B137" s="119"/>
      <x:c r="C137" s="119"/>
      <x:c r="D137" s="119"/>
      <x:c r="E137" s="119"/>
      <x:c r="F137" s="119"/>
      <x:c r="G137" s="119"/>
      <x:c r="H137" s="119"/>
      <x:c r="I137" s="119"/>
      <x:c r="J137" s="119"/>
      <x:c r="K137" s="119"/>
      <x:c r="L137" s="119"/>
      <x:c r="M137" s="119"/>
      <x:c r="N137" s="119"/>
      <x:c r="O137" s="119"/>
      <x:c r="P137" s="119"/>
    </x:row>
    <x:row r="138">
      <x:c r="A138" s="119"/>
      <x:c r="B138" s="119"/>
      <x:c r="C138" s="119"/>
      <x:c r="D138" s="119"/>
      <x:c r="E138" s="119"/>
      <x:c r="F138" s="119"/>
      <x:c r="G138" s="119"/>
      <x:c r="H138" s="119"/>
      <x:c r="I138" s="119"/>
      <x:c r="J138" s="119"/>
      <x:c r="K138" s="119"/>
      <x:c r="L138" s="119"/>
      <x:c r="M138" s="119"/>
      <x:c r="N138" s="119"/>
      <x:c r="O138" s="119"/>
      <x:c r="P138" s="119"/>
    </x:row>
    <x:row r="139">
      <x:c r="A139" s="119"/>
      <x:c r="B139" s="119"/>
      <x:c r="C139" s="119"/>
      <x:c r="D139" s="119"/>
      <x:c r="E139" s="119"/>
      <x:c r="F139" s="119"/>
      <x:c r="G139" s="119"/>
      <x:c r="H139" s="119"/>
      <x:c r="I139" s="119"/>
      <x:c r="J139" s="119"/>
      <x:c r="K139" s="119"/>
      <x:c r="L139" s="119"/>
      <x:c r="M139" s="119"/>
      <x:c r="N139" s="119"/>
      <x:c r="O139" s="119"/>
      <x:c r="P139" s="119"/>
    </x:row>
    <x:row r="140">
      <x:c r="A140" s="119"/>
      <x:c r="B140" s="119"/>
      <x:c r="C140" s="119"/>
      <x:c r="D140" s="119"/>
      <x:c r="E140" s="119"/>
      <x:c r="F140" s="119"/>
      <x:c r="G140" s="119"/>
      <x:c r="H140" s="119"/>
      <x:c r="I140" s="119"/>
      <x:c r="J140" s="119"/>
      <x:c r="K140" s="119"/>
      <x:c r="L140" s="119"/>
      <x:c r="M140" s="119"/>
      <x:c r="N140" s="119"/>
      <x:c r="O140" s="119"/>
      <x:c r="P140" s="119"/>
    </x:row>
    <x:row r="141">
      <x:c r="A141" s="119"/>
      <x:c r="B141" s="119"/>
      <x:c r="C141" s="119"/>
      <x:c r="D141" s="119"/>
      <x:c r="E141" s="119"/>
      <x:c r="F141" s="119"/>
      <x:c r="G141" s="119"/>
      <x:c r="H141" s="119"/>
      <x:c r="I141" s="119"/>
      <x:c r="J141" s="119"/>
      <x:c r="K141" s="119"/>
      <x:c r="L141" s="119"/>
      <x:c r="M141" s="119"/>
      <x:c r="N141" s="119"/>
      <x:c r="O141" s="119"/>
      <x:c r="P141" s="119"/>
    </x:row>
    <x:row r="142">
      <x:c r="A142" s="119"/>
      <x:c r="B142" s="119"/>
      <x:c r="C142" s="119"/>
      <x:c r="D142" s="119"/>
      <x:c r="E142" s="119"/>
      <x:c r="F142" s="119"/>
      <x:c r="G142" s="119"/>
      <x:c r="H142" s="119"/>
      <x:c r="I142" s="119"/>
      <x:c r="J142" s="119"/>
      <x:c r="K142" s="119"/>
      <x:c r="L142" s="119"/>
      <x:c r="M142" s="119"/>
      <x:c r="N142" s="119"/>
      <x:c r="O142" s="119"/>
      <x:c r="P142" s="119"/>
    </x:row>
    <x:row r="143">
      <x:c r="A143" s="119"/>
      <x:c r="B143" s="119"/>
      <x:c r="C143" s="119"/>
      <x:c r="D143" s="119"/>
      <x:c r="E143" s="119"/>
      <x:c r="F143" s="119"/>
      <x:c r="G143" s="119"/>
      <x:c r="H143" s="119"/>
      <x:c r="I143" s="119"/>
      <x:c r="J143" s="119"/>
      <x:c r="K143" s="119"/>
      <x:c r="L143" s="119"/>
      <x:c r="M143" s="119"/>
      <x:c r="N143" s="119"/>
      <x:c r="O143" s="119"/>
      <x:c r="P143" s="119"/>
    </x:row>
    <x:row r="144">
      <x:c r="A144" s="119"/>
      <x:c r="B144" s="119"/>
      <x:c r="C144" s="119"/>
      <x:c r="D144" s="119"/>
      <x:c r="E144" s="119"/>
      <x:c r="F144" s="119"/>
      <x:c r="G144" s="119"/>
      <x:c r="H144" s="119"/>
      <x:c r="I144" s="119"/>
      <x:c r="J144" s="119"/>
      <x:c r="K144" s="119"/>
      <x:c r="L144" s="119"/>
      <x:c r="M144" s="119"/>
      <x:c r="N144" s="119"/>
      <x:c r="O144" s="119"/>
      <x:c r="P144" s="119"/>
    </x:row>
    <x:row r="145">
      <x:c r="A145" s="119"/>
      <x:c r="B145" s="119"/>
      <x:c r="C145" s="119"/>
      <x:c r="D145" s="119"/>
      <x:c r="E145" s="119"/>
      <x:c r="F145" s="119"/>
      <x:c r="G145" s="119"/>
      <x:c r="H145" s="119"/>
      <x:c r="I145" s="119"/>
      <x:c r="J145" s="119"/>
      <x:c r="K145" s="119"/>
      <x:c r="L145" s="119"/>
      <x:c r="M145" s="119"/>
      <x:c r="N145" s="119"/>
      <x:c r="O145" s="119"/>
      <x:c r="P145" s="119"/>
    </x:row>
    <x:row r="146">
      <x:c r="A146" s="119"/>
      <x:c r="B146" s="119"/>
      <x:c r="C146" s="119"/>
      <x:c r="D146" s="119"/>
      <x:c r="E146" s="119"/>
      <x:c r="F146" s="119"/>
      <x:c r="G146" s="119"/>
      <x:c r="H146" s="119"/>
      <x:c r="I146" s="119"/>
      <x:c r="J146" s="119"/>
      <x:c r="K146" s="119"/>
      <x:c r="L146" s="119"/>
      <x:c r="M146" s="119"/>
      <x:c r="N146" s="119"/>
      <x:c r="O146" s="119"/>
      <x:c r="P146" s="119"/>
    </x:row>
    <x:row r="147">
      <x:c r="A147" s="119"/>
      <x:c r="B147" s="119"/>
      <x:c r="C147" s="119"/>
      <x:c r="D147" s="119"/>
      <x:c r="E147" s="119"/>
      <x:c r="F147" s="119"/>
      <x:c r="G147" s="119"/>
      <x:c r="H147" s="119"/>
      <x:c r="I147" s="119"/>
      <x:c r="J147" s="119"/>
      <x:c r="K147" s="119"/>
      <x:c r="L147" s="119"/>
      <x:c r="M147" s="119"/>
      <x:c r="N147" s="119"/>
      <x:c r="O147" s="119"/>
      <x:c r="P147" s="119"/>
    </x:row>
    <x:row r="148">
      <x:c r="A148" s="119"/>
      <x:c r="B148" s="119"/>
      <x:c r="C148" s="119"/>
      <x:c r="D148" s="119"/>
      <x:c r="E148" s="119"/>
      <x:c r="F148" s="119"/>
      <x:c r="G148" s="119"/>
      <x:c r="H148" s="119"/>
      <x:c r="I148" s="119"/>
      <x:c r="J148" s="119"/>
      <x:c r="K148" s="119"/>
      <x:c r="L148" s="119"/>
      <x:c r="M148" s="119"/>
      <x:c r="N148" s="119"/>
      <x:c r="O148" s="119"/>
      <x:c r="P148" s="119"/>
    </x:row>
    <x:row r="149">
      <x:c r="A149" s="119"/>
      <x:c r="B149" s="119"/>
      <x:c r="C149" s="119"/>
      <x:c r="D149" s="119"/>
      <x:c r="E149" s="119"/>
      <x:c r="F149" s="119"/>
      <x:c r="G149" s="119"/>
      <x:c r="H149" s="119"/>
      <x:c r="I149" s="119"/>
      <x:c r="J149" s="119"/>
      <x:c r="K149" s="119"/>
      <x:c r="L149" s="119"/>
      <x:c r="M149" s="119"/>
      <x:c r="N149" s="119"/>
      <x:c r="O149" s="119"/>
      <x:c r="P149" s="119"/>
    </x:row>
    <x:row r="150">
      <x:c r="A150" s="119"/>
      <x:c r="B150" s="119"/>
      <x:c r="C150" s="119"/>
      <x:c r="D150" s="119"/>
      <x:c r="E150" s="119"/>
      <x:c r="F150" s="119"/>
      <x:c r="G150" s="119"/>
      <x:c r="H150" s="119"/>
      <x:c r="I150" s="119"/>
      <x:c r="J150" s="119"/>
      <x:c r="K150" s="119"/>
      <x:c r="L150" s="119"/>
      <x:c r="M150" s="119"/>
      <x:c r="N150" s="119"/>
      <x:c r="O150" s="119"/>
      <x:c r="P150" s="119"/>
    </x:row>
    <x:row r="151">
      <x:c r="A151" s="119"/>
      <x:c r="B151" s="119"/>
      <x:c r="C151" s="119"/>
      <x:c r="D151" s="119"/>
      <x:c r="E151" s="119"/>
      <x:c r="F151" s="119"/>
      <x:c r="G151" s="119"/>
      <x:c r="H151" s="119"/>
      <x:c r="I151" s="119"/>
      <x:c r="J151" s="119"/>
      <x:c r="K151" s="119"/>
      <x:c r="L151" s="119"/>
      <x:c r="M151" s="119"/>
      <x:c r="N151" s="119"/>
      <x:c r="O151" s="119"/>
      <x:c r="P151" s="119"/>
    </x:row>
    <x:row r="152">
      <x:c r="A152" s="119"/>
      <x:c r="B152" s="119"/>
      <x:c r="C152" s="119"/>
      <x:c r="D152" s="119"/>
      <x:c r="E152" s="119"/>
      <x:c r="F152" s="119"/>
      <x:c r="G152" s="119"/>
      <x:c r="H152" s="119"/>
      <x:c r="I152" s="119"/>
      <x:c r="J152" s="119"/>
      <x:c r="K152" s="119"/>
      <x:c r="L152" s="119"/>
      <x:c r="M152" s="119"/>
      <x:c r="N152" s="119"/>
      <x:c r="O152" s="119"/>
      <x:c r="P152" s="119"/>
    </x:row>
    <x:row r="153">
      <x:c r="A153" s="119"/>
      <x:c r="B153" s="119"/>
      <x:c r="C153" s="119"/>
      <x:c r="D153" s="119"/>
      <x:c r="E153" s="119"/>
      <x:c r="F153" s="119"/>
      <x:c r="G153" s="119"/>
      <x:c r="H153" s="119"/>
      <x:c r="I153" s="119"/>
      <x:c r="J153" s="119"/>
      <x:c r="K153" s="119"/>
      <x:c r="L153" s="119"/>
      <x:c r="M153" s="119"/>
      <x:c r="N153" s="119"/>
      <x:c r="O153" s="119"/>
      <x:c r="P153" s="119"/>
    </x:row>
    <x:row r="154">
      <x:c r="A154" s="119"/>
      <x:c r="B154" s="119"/>
      <x:c r="C154" s="119"/>
      <x:c r="D154" s="119"/>
      <x:c r="E154" s="119"/>
      <x:c r="F154" s="119"/>
      <x:c r="G154" s="119"/>
      <x:c r="H154" s="119"/>
      <x:c r="I154" s="119"/>
      <x:c r="J154" s="119"/>
      <x:c r="K154" s="119"/>
      <x:c r="L154" s="119"/>
      <x:c r="M154" s="119"/>
      <x:c r="N154" s="119"/>
      <x:c r="O154" s="119"/>
      <x:c r="P154" s="119"/>
    </x:row>
    <x:row r="155">
      <x:c r="A155" s="119"/>
      <x:c r="B155" s="119"/>
      <x:c r="C155" s="119"/>
      <x:c r="D155" s="119"/>
      <x:c r="E155" s="119"/>
      <x:c r="F155" s="119"/>
      <x:c r="G155" s="119"/>
      <x:c r="H155" s="119"/>
      <x:c r="I155" s="119"/>
      <x:c r="J155" s="119"/>
      <x:c r="K155" s="119"/>
      <x:c r="L155" s="119"/>
      <x:c r="M155" s="119"/>
      <x:c r="N155" s="119"/>
      <x:c r="O155" s="119"/>
      <x:c r="P155" s="119"/>
    </x:row>
    <x:row r="156">
      <x:c r="A156" s="119"/>
      <x:c r="B156" s="119"/>
      <x:c r="C156" s="119"/>
      <x:c r="D156" s="119"/>
      <x:c r="E156" s="119"/>
      <x:c r="F156" s="119"/>
      <x:c r="G156" s="119"/>
      <x:c r="H156" s="119"/>
      <x:c r="I156" s="119"/>
      <x:c r="J156" s="119"/>
      <x:c r="K156" s="119"/>
      <x:c r="L156" s="119"/>
      <x:c r="M156" s="119"/>
      <x:c r="N156" s="119"/>
      <x:c r="O156" s="119"/>
      <x:c r="P156" s="119"/>
    </x:row>
    <x:row r="157">
      <x:c r="A157" s="119"/>
      <x:c r="B157" s="119"/>
      <x:c r="C157" s="119"/>
      <x:c r="D157" s="119"/>
      <x:c r="E157" s="119"/>
      <x:c r="F157" s="119"/>
      <x:c r="G157" s="119"/>
      <x:c r="H157" s="119"/>
      <x:c r="I157" s="119"/>
      <x:c r="J157" s="119"/>
      <x:c r="K157" s="119"/>
      <x:c r="L157" s="119"/>
      <x:c r="M157" s="119"/>
      <x:c r="N157" s="119"/>
      <x:c r="O157" s="119"/>
      <x:c r="P157" s="119"/>
    </x:row>
    <x:row r="158">
      <x:c r="A158" s="119"/>
      <x:c r="B158" s="119"/>
      <x:c r="C158" s="119"/>
      <x:c r="D158" s="119"/>
      <x:c r="E158" s="119"/>
      <x:c r="F158" s="119"/>
      <x:c r="G158" s="119"/>
      <x:c r="H158" s="119"/>
      <x:c r="I158" s="119"/>
      <x:c r="J158" s="119"/>
      <x:c r="K158" s="119"/>
      <x:c r="L158" s="119"/>
      <x:c r="M158" s="119"/>
      <x:c r="N158" s="119"/>
      <x:c r="O158" s="119"/>
      <x:c r="P158" s="119"/>
    </x:row>
    <x:row r="159">
      <x:c r="A159" s="119"/>
      <x:c r="B159" s="119"/>
      <x:c r="C159" s="119"/>
      <x:c r="D159" s="119"/>
      <x:c r="E159" s="119"/>
      <x:c r="F159" s="119"/>
      <x:c r="G159" s="119"/>
      <x:c r="H159" s="119"/>
      <x:c r="I159" s="119"/>
      <x:c r="J159" s="119"/>
      <x:c r="K159" s="119"/>
      <x:c r="L159" s="119"/>
      <x:c r="M159" s="119"/>
      <x:c r="N159" s="119"/>
      <x:c r="O159" s="119"/>
      <x:c r="P159" s="119"/>
    </x:row>
    <x:row r="160">
      <x:c r="A160" s="119"/>
      <x:c r="B160" s="119"/>
      <x:c r="C160" s="119"/>
      <x:c r="D160" s="119"/>
      <x:c r="E160" s="119"/>
      <x:c r="F160" s="119"/>
      <x:c r="G160" s="119"/>
      <x:c r="H160" s="119"/>
      <x:c r="I160" s="119"/>
      <x:c r="J160" s="119"/>
      <x:c r="K160" s="119"/>
      <x:c r="L160" s="119"/>
      <x:c r="M160" s="119"/>
      <x:c r="N160" s="119"/>
      <x:c r="O160" s="119"/>
      <x:c r="P160" s="119"/>
    </x:row>
    <x:row r="161">
      <x:c r="A161" s="119"/>
      <x:c r="B161" s="119"/>
      <x:c r="C161" s="119"/>
      <x:c r="D161" s="119"/>
      <x:c r="E161" s="119"/>
      <x:c r="F161" s="119"/>
      <x:c r="G161" s="119"/>
      <x:c r="H161" s="119"/>
      <x:c r="I161" s="119"/>
      <x:c r="J161" s="119"/>
      <x:c r="K161" s="119"/>
      <x:c r="L161" s="119"/>
      <x:c r="M161" s="119"/>
      <x:c r="N161" s="119"/>
      <x:c r="O161" s="119"/>
      <x:c r="P161" s="119"/>
    </x:row>
    <x:row r="162">
      <x:c r="A162" s="119"/>
      <x:c r="B162" s="119"/>
      <x:c r="C162" s="119"/>
      <x:c r="D162" s="119"/>
      <x:c r="E162" s="119"/>
      <x:c r="F162" s="119"/>
      <x:c r="G162" s="119"/>
      <x:c r="H162" s="119"/>
      <x:c r="I162" s="119"/>
      <x:c r="J162" s="119"/>
      <x:c r="K162" s="119"/>
      <x:c r="L162" s="119"/>
      <x:c r="M162" s="119"/>
      <x:c r="N162" s="119"/>
      <x:c r="O162" s="119"/>
      <x:c r="P162" s="119"/>
    </x:row>
    <x:row r="163">
      <x:c r="A163" s="119"/>
      <x:c r="B163" s="119"/>
      <x:c r="C163" s="119"/>
      <x:c r="D163" s="119"/>
      <x:c r="E163" s="119"/>
      <x:c r="F163" s="119"/>
      <x:c r="G163" s="119"/>
      <x:c r="H163" s="119"/>
      <x:c r="I163" s="119"/>
      <x:c r="J163" s="119"/>
      <x:c r="K163" s="119"/>
      <x:c r="L163" s="119"/>
      <x:c r="M163" s="119"/>
      <x:c r="N163" s="119"/>
      <x:c r="O163" s="119"/>
      <x:c r="P163" s="119"/>
    </x:row>
    <x:row r="164">
      <x:c r="A164" s="119"/>
      <x:c r="B164" s="119"/>
      <x:c r="C164" s="119"/>
      <x:c r="D164" s="119"/>
      <x:c r="E164" s="119"/>
      <x:c r="F164" s="119"/>
      <x:c r="G164" s="119"/>
      <x:c r="H164" s="119"/>
      <x:c r="I164" s="119"/>
      <x:c r="J164" s="119"/>
      <x:c r="K164" s="119"/>
      <x:c r="L164" s="119"/>
      <x:c r="M164" s="119"/>
      <x:c r="N164" s="119"/>
      <x:c r="O164" s="119"/>
      <x:c r="P164" s="119"/>
    </x:row>
    <x:row r="165">
      <x:c r="A165" s="119"/>
      <x:c r="B165" s="119"/>
      <x:c r="C165" s="119"/>
      <x:c r="D165" s="119"/>
      <x:c r="E165" s="119"/>
      <x:c r="F165" s="119"/>
      <x:c r="G165" s="119"/>
      <x:c r="H165" s="119"/>
      <x:c r="I165" s="119"/>
      <x:c r="J165" s="119"/>
      <x:c r="K165" s="119"/>
      <x:c r="L165" s="119"/>
      <x:c r="M165" s="119"/>
      <x:c r="N165" s="119"/>
      <x:c r="O165" s="119"/>
      <x:c r="P165" s="119"/>
    </x:row>
    <x:row r="166">
      <x:c r="A166" s="119"/>
      <x:c r="B166" s="119"/>
      <x:c r="C166" s="119"/>
      <x:c r="D166" s="119"/>
      <x:c r="E166" s="119"/>
      <x:c r="F166" s="119"/>
      <x:c r="G166" s="119"/>
      <x:c r="H166" s="119"/>
      <x:c r="I166" s="119"/>
      <x:c r="J166" s="119"/>
      <x:c r="K166" s="119"/>
      <x:c r="L166" s="119"/>
      <x:c r="M166" s="119"/>
      <x:c r="N166" s="119"/>
      <x:c r="O166" s="119"/>
      <x:c r="P166" s="119"/>
    </x:row>
    <x:row r="167">
      <x:c r="A167" s="119"/>
      <x:c r="B167" s="119"/>
      <x:c r="C167" s="119"/>
      <x:c r="D167" s="119"/>
      <x:c r="E167" s="119"/>
      <x:c r="F167" s="119"/>
      <x:c r="G167" s="119"/>
      <x:c r="H167" s="119"/>
      <x:c r="I167" s="119"/>
      <x:c r="J167" s="119"/>
      <x:c r="K167" s="119"/>
      <x:c r="L167" s="119"/>
      <x:c r="M167" s="119"/>
      <x:c r="N167" s="119"/>
      <x:c r="O167" s="119"/>
      <x:c r="P167" s="119"/>
    </x:row>
    <x:row r="168">
      <x:c r="A168" s="119"/>
      <x:c r="B168" s="119"/>
      <x:c r="C168" s="119"/>
      <x:c r="D168" s="119"/>
      <x:c r="E168" s="119"/>
      <x:c r="F168" s="119"/>
      <x:c r="G168" s="119"/>
      <x:c r="H168" s="119"/>
      <x:c r="I168" s="119"/>
      <x:c r="J168" s="119"/>
      <x:c r="K168" s="119"/>
      <x:c r="L168" s="119"/>
      <x:c r="M168" s="119"/>
      <x:c r="N168" s="119"/>
      <x:c r="O168" s="119"/>
      <x:c r="P168" s="119"/>
    </x:row>
    <x:row r="169">
      <x:c r="A169" s="119"/>
      <x:c r="B169" s="119"/>
      <x:c r="C169" s="119"/>
      <x:c r="D169" s="119"/>
      <x:c r="E169" s="119"/>
      <x:c r="F169" s="119"/>
      <x:c r="G169" s="119"/>
      <x:c r="H169" s="119"/>
      <x:c r="I169" s="119"/>
      <x:c r="J169" s="119"/>
      <x:c r="K169" s="119"/>
      <x:c r="L169" s="119"/>
      <x:c r="M169" s="119"/>
      <x:c r="N169" s="119"/>
      <x:c r="O169" s="119"/>
      <x:c r="P169" s="119"/>
    </x:row>
    <x:row r="170">
      <x:c r="A170" s="119"/>
      <x:c r="B170" s="119"/>
      <x:c r="C170" s="119"/>
      <x:c r="D170" s="119"/>
      <x:c r="E170" s="119"/>
      <x:c r="F170" s="119"/>
      <x:c r="G170" s="119"/>
      <x:c r="H170" s="119"/>
      <x:c r="I170" s="119"/>
      <x:c r="J170" s="119"/>
      <x:c r="K170" s="119"/>
      <x:c r="L170" s="119"/>
      <x:c r="M170" s="119"/>
      <x:c r="N170" s="119"/>
      <x:c r="O170" s="119"/>
      <x:c r="P170" s="119"/>
    </x:row>
    <x:row r="171">
      <x:c r="A171" s="119"/>
      <x:c r="B171" s="119"/>
      <x:c r="C171" s="119"/>
      <x:c r="D171" s="119"/>
      <x:c r="E171" s="119"/>
      <x:c r="F171" s="119"/>
      <x:c r="G171" s="119"/>
      <x:c r="H171" s="119"/>
      <x:c r="I171" s="119"/>
      <x:c r="J171" s="119"/>
      <x:c r="K171" s="119"/>
      <x:c r="L171" s="119"/>
      <x:c r="M171" s="119"/>
      <x:c r="N171" s="119"/>
      <x:c r="O171" s="119"/>
      <x:c r="P171" s="119"/>
    </x:row>
    <x:row r="172">
      <x:c r="A172" s="119"/>
      <x:c r="B172" s="119"/>
      <x:c r="C172" s="119"/>
      <x:c r="D172" s="119"/>
      <x:c r="E172" s="119"/>
      <x:c r="F172" s="119"/>
      <x:c r="G172" s="119"/>
      <x:c r="H172" s="119"/>
      <x:c r="I172" s="119"/>
      <x:c r="J172" s="119"/>
      <x:c r="K172" s="119"/>
      <x:c r="L172" s="119"/>
      <x:c r="M172" s="119"/>
      <x:c r="N172" s="119"/>
      <x:c r="O172" s="119"/>
      <x:c r="P172" s="119"/>
    </x:row>
    <x:row r="173">
      <x:c r="A173" s="119"/>
      <x:c r="B173" s="119"/>
      <x:c r="C173" s="119"/>
      <x:c r="D173" s="119"/>
      <x:c r="E173" s="119"/>
      <x:c r="F173" s="119"/>
      <x:c r="G173" s="119"/>
      <x:c r="H173" s="119"/>
      <x:c r="I173" s="119"/>
      <x:c r="J173" s="119"/>
      <x:c r="K173" s="119"/>
      <x:c r="L173" s="119"/>
      <x:c r="M173" s="119"/>
      <x:c r="N173" s="119"/>
      <x:c r="O173" s="119"/>
      <x:c r="P173" s="119"/>
    </x:row>
    <x:row r="174">
      <x:c r="A174" s="119"/>
      <x:c r="B174" s="119"/>
      <x:c r="C174" s="119"/>
      <x:c r="D174" s="119"/>
      <x:c r="E174" s="119"/>
      <x:c r="F174" s="119"/>
      <x:c r="G174" s="119"/>
      <x:c r="H174" s="119"/>
      <x:c r="I174" s="119"/>
      <x:c r="J174" s="119"/>
      <x:c r="K174" s="119"/>
      <x:c r="L174" s="119"/>
      <x:c r="M174" s="119"/>
      <x:c r="N174" s="119"/>
      <x:c r="O174" s="119"/>
      <x:c r="P174" s="119"/>
    </x:row>
    <x:row r="175">
      <x:c r="A175" s="119"/>
      <x:c r="B175" s="119"/>
      <x:c r="C175" s="119"/>
      <x:c r="D175" s="119"/>
      <x:c r="E175" s="119"/>
      <x:c r="F175" s="119"/>
      <x:c r="G175" s="119"/>
      <x:c r="H175" s="119"/>
      <x:c r="I175" s="119"/>
      <x:c r="J175" s="119"/>
      <x:c r="K175" s="119"/>
      <x:c r="L175" s="119"/>
      <x:c r="M175" s="119"/>
      <x:c r="N175" s="119"/>
      <x:c r="O175" s="119"/>
      <x:c r="P175" s="119"/>
    </x:row>
    <x:row r="176">
      <x:c r="A176" s="119"/>
      <x:c r="B176" s="119"/>
      <x:c r="C176" s="119"/>
      <x:c r="D176" s="119"/>
      <x:c r="E176" s="119"/>
      <x:c r="F176" s="119"/>
      <x:c r="G176" s="119"/>
      <x:c r="H176" s="119"/>
      <x:c r="I176" s="119"/>
      <x:c r="J176" s="119"/>
      <x:c r="K176" s="119"/>
      <x:c r="L176" s="119"/>
      <x:c r="M176" s="119"/>
      <x:c r="N176" s="119"/>
      <x:c r="O176" s="119"/>
      <x:c r="P176" s="119"/>
    </x:row>
    <x:row r="177">
      <x:c r="A177" s="119"/>
      <x:c r="B177" s="119"/>
      <x:c r="C177" s="119"/>
      <x:c r="D177" s="119"/>
      <x:c r="E177" s="119"/>
      <x:c r="F177" s="119"/>
      <x:c r="G177" s="119"/>
      <x:c r="H177" s="119"/>
      <x:c r="I177" s="119"/>
      <x:c r="J177" s="119"/>
      <x:c r="K177" s="119"/>
      <x:c r="L177" s="119"/>
      <x:c r="M177" s="119"/>
      <x:c r="N177" s="119"/>
      <x:c r="O177" s="119"/>
      <x:c r="P177" s="119"/>
    </x:row>
    <x:row r="178">
      <x:c r="A178" s="119"/>
      <x:c r="B178" s="119"/>
      <x:c r="C178" s="119"/>
      <x:c r="D178" s="119"/>
      <x:c r="E178" s="119"/>
      <x:c r="F178" s="119"/>
      <x:c r="G178" s="119"/>
      <x:c r="H178" s="119"/>
      <x:c r="I178" s="119"/>
      <x:c r="J178" s="119"/>
      <x:c r="K178" s="119"/>
      <x:c r="L178" s="119"/>
      <x:c r="M178" s="119"/>
      <x:c r="N178" s="119"/>
      <x:c r="O178" s="119"/>
      <x:c r="P178" s="119"/>
    </x:row>
    <x:row r="179">
      <x:c r="A179" s="119"/>
      <x:c r="B179" s="119"/>
      <x:c r="C179" s="119"/>
      <x:c r="D179" s="119"/>
      <x:c r="E179" s="119"/>
      <x:c r="F179" s="119"/>
      <x:c r="G179" s="119"/>
      <x:c r="H179" s="119"/>
      <x:c r="I179" s="119"/>
      <x:c r="J179" s="119"/>
      <x:c r="K179" s="119"/>
      <x:c r="L179" s="119"/>
      <x:c r="M179" s="119"/>
      <x:c r="N179" s="119"/>
      <x:c r="O179" s="119"/>
      <x:c r="P179" s="119"/>
    </x:row>
    <x:row r="180">
      <x:c r="A180" s="119"/>
      <x:c r="B180" s="119"/>
      <x:c r="C180" s="119"/>
      <x:c r="D180" s="119"/>
      <x:c r="E180" s="119"/>
      <x:c r="F180" s="119"/>
      <x:c r="G180" s="119"/>
      <x:c r="H180" s="119"/>
      <x:c r="I180" s="119"/>
      <x:c r="J180" s="119"/>
      <x:c r="K180" s="119"/>
      <x:c r="L180" s="119"/>
      <x:c r="M180" s="119"/>
      <x:c r="N180" s="119"/>
      <x:c r="O180" s="119"/>
      <x:c r="P180" s="119"/>
    </x:row>
    <x:row r="181">
      <x:c r="A181" s="119"/>
      <x:c r="B181" s="119"/>
      <x:c r="C181" s="119"/>
      <x:c r="D181" s="119"/>
      <x:c r="E181" s="119"/>
      <x:c r="F181" s="119"/>
      <x:c r="G181" s="119"/>
      <x:c r="H181" s="119"/>
      <x:c r="I181" s="119"/>
      <x:c r="J181" s="119"/>
      <x:c r="K181" s="119"/>
      <x:c r="L181" s="119"/>
      <x:c r="M181" s="119"/>
      <x:c r="N181" s="119"/>
      <x:c r="O181" s="119"/>
      <x:c r="P181" s="119"/>
    </x:row>
    <x:row r="182">
      <x:c r="A182" s="119"/>
      <x:c r="B182" s="119"/>
      <x:c r="C182" s="119"/>
      <x:c r="D182" s="119"/>
      <x:c r="E182" s="119"/>
      <x:c r="F182" s="119"/>
      <x:c r="G182" s="119"/>
      <x:c r="H182" s="119"/>
      <x:c r="I182" s="119"/>
      <x:c r="J182" s="119"/>
      <x:c r="K182" s="119"/>
      <x:c r="L182" s="119"/>
      <x:c r="M182" s="119"/>
      <x:c r="N182" s="119"/>
      <x:c r="O182" s="119"/>
      <x:c r="P182" s="119"/>
    </x:row>
    <x:row r="183">
      <x:c r="A183" s="119"/>
      <x:c r="B183" s="119"/>
      <x:c r="C183" s="119"/>
      <x:c r="D183" s="119"/>
      <x:c r="E183" s="119"/>
      <x:c r="F183" s="119"/>
      <x:c r="G183" s="119"/>
      <x:c r="H183" s="119"/>
      <x:c r="I183" s="119"/>
      <x:c r="J183" s="119"/>
      <x:c r="K183" s="119"/>
      <x:c r="L183" s="119"/>
      <x:c r="M183" s="119"/>
      <x:c r="N183" s="119"/>
      <x:c r="O183" s="119"/>
      <x:c r="P183" s="119"/>
    </x:row>
    <x:row r="184">
      <x:c r="A184" s="119"/>
      <x:c r="B184" s="119"/>
      <x:c r="C184" s="119"/>
      <x:c r="D184" s="119"/>
      <x:c r="E184" s="119"/>
      <x:c r="F184" s="119"/>
      <x:c r="G184" s="119"/>
      <x:c r="H184" s="119"/>
      <x:c r="I184" s="119"/>
      <x:c r="J184" s="119"/>
      <x:c r="K184" s="119"/>
      <x:c r="L184" s="119"/>
      <x:c r="M184" s="119"/>
      <x:c r="N184" s="119"/>
      <x:c r="O184" s="119"/>
      <x:c r="P184" s="119"/>
    </x:row>
    <x:row r="185">
      <x:c r="A185" s="119"/>
      <x:c r="B185" s="119"/>
      <x:c r="C185" s="119"/>
      <x:c r="D185" s="119"/>
      <x:c r="E185" s="119"/>
      <x:c r="F185" s="119"/>
      <x:c r="G185" s="119"/>
      <x:c r="H185" s="119"/>
      <x:c r="I185" s="119"/>
      <x:c r="J185" s="119"/>
      <x:c r="K185" s="119"/>
      <x:c r="L185" s="119"/>
      <x:c r="M185" s="119"/>
      <x:c r="N185" s="119"/>
      <x:c r="O185" s="119"/>
      <x:c r="P185" s="119"/>
    </x:row>
    <x:row r="186">
      <x:c r="A186" s="119"/>
      <x:c r="B186" s="119"/>
      <x:c r="C186" s="119"/>
      <x:c r="D186" s="119"/>
      <x:c r="E186" s="119"/>
      <x:c r="F186" s="119"/>
      <x:c r="G186" s="119"/>
      <x:c r="H186" s="119"/>
      <x:c r="I186" s="119"/>
      <x:c r="J186" s="119"/>
      <x:c r="K186" s="119"/>
      <x:c r="L186" s="119"/>
      <x:c r="M186" s="119"/>
      <x:c r="N186" s="119"/>
      <x:c r="O186" s="119"/>
      <x:c r="P186" s="119"/>
    </x:row>
    <x:row r="187">
      <x:c r="A187" s="119"/>
      <x:c r="B187" s="119"/>
      <x:c r="C187" s="119"/>
      <x:c r="D187" s="119"/>
      <x:c r="E187" s="119"/>
      <x:c r="F187" s="119"/>
      <x:c r="G187" s="119"/>
      <x:c r="H187" s="119"/>
      <x:c r="I187" s="119"/>
      <x:c r="J187" s="119"/>
      <x:c r="K187" s="119"/>
      <x:c r="L187" s="119"/>
      <x:c r="M187" s="119"/>
      <x:c r="N187" s="119"/>
      <x:c r="O187" s="119"/>
      <x:c r="P187" s="119"/>
    </x:row>
    <x:row r="188">
      <x:c r="A188" s="119"/>
      <x:c r="B188" s="119"/>
      <x:c r="C188" s="119"/>
      <x:c r="D188" s="119"/>
      <x:c r="E188" s="119"/>
      <x:c r="F188" s="119"/>
      <x:c r="G188" s="119"/>
      <x:c r="H188" s="119"/>
      <x:c r="I188" s="119"/>
      <x:c r="J188" s="119"/>
      <x:c r="K188" s="119"/>
      <x:c r="L188" s="119"/>
      <x:c r="M188" s="119"/>
      <x:c r="N188" s="119"/>
      <x:c r="O188" s="119"/>
      <x:c r="P188" s="119"/>
    </x:row>
    <x:row r="189">
      <x:c r="A189" s="119"/>
      <x:c r="B189" s="119"/>
      <x:c r="C189" s="119"/>
      <x:c r="D189" s="119"/>
      <x:c r="E189" s="119"/>
      <x:c r="F189" s="119"/>
      <x:c r="G189" s="119"/>
      <x:c r="H189" s="119"/>
      <x:c r="I189" s="119"/>
      <x:c r="J189" s="119"/>
      <x:c r="K189" s="119"/>
      <x:c r="L189" s="119"/>
      <x:c r="M189" s="119"/>
      <x:c r="N189" s="119"/>
      <x:c r="O189" s="119"/>
      <x:c r="P189" s="119"/>
    </x:row>
    <x:row r="190">
      <x:c r="A190" s="119"/>
      <x:c r="B190" s="119"/>
      <x:c r="C190" s="119"/>
      <x:c r="D190" s="119"/>
      <x:c r="E190" s="119"/>
      <x:c r="F190" s="119"/>
      <x:c r="G190" s="119"/>
      <x:c r="H190" s="119"/>
      <x:c r="I190" s="119"/>
      <x:c r="J190" s="119"/>
      <x:c r="K190" s="119"/>
      <x:c r="L190" s="119"/>
      <x:c r="M190" s="119"/>
      <x:c r="N190" s="119"/>
      <x:c r="O190" s="119"/>
      <x:c r="P190" s="119"/>
    </x:row>
    <x:row r="191">
      <x:c r="A191" s="119"/>
      <x:c r="B191" s="119"/>
      <x:c r="C191" s="119"/>
      <x:c r="D191" s="119"/>
      <x:c r="E191" s="119"/>
      <x:c r="F191" s="119"/>
      <x:c r="G191" s="119"/>
      <x:c r="H191" s="119"/>
      <x:c r="I191" s="119"/>
      <x:c r="J191" s="119"/>
      <x:c r="K191" s="119"/>
      <x:c r="L191" s="119"/>
      <x:c r="M191" s="119"/>
      <x:c r="N191" s="119"/>
      <x:c r="O191" s="119"/>
      <x:c r="P191" s="119"/>
    </x:row>
    <x:row r="192">
      <x:c r="A192" s="119"/>
      <x:c r="B192" s="119"/>
      <x:c r="C192" s="119"/>
      <x:c r="D192" s="119"/>
      <x:c r="E192" s="119"/>
      <x:c r="F192" s="119"/>
      <x:c r="G192" s="119"/>
      <x:c r="H192" s="119"/>
      <x:c r="I192" s="119"/>
      <x:c r="J192" s="119"/>
      <x:c r="K192" s="119"/>
      <x:c r="L192" s="119"/>
      <x:c r="M192" s="119"/>
      <x:c r="N192" s="119"/>
      <x:c r="O192" s="119"/>
      <x:c r="P192" s="119"/>
    </x:row>
    <x:row r="193">
      <x:c r="A193" s="119"/>
      <x:c r="B193" s="119"/>
      <x:c r="C193" s="119"/>
      <x:c r="D193" s="119"/>
      <x:c r="E193" s="119"/>
      <x:c r="F193" s="119"/>
      <x:c r="G193" s="119"/>
      <x:c r="H193" s="119"/>
      <x:c r="I193" s="119"/>
      <x:c r="J193" s="119"/>
      <x:c r="K193" s="119"/>
      <x:c r="L193" s="119"/>
      <x:c r="M193" s="119"/>
      <x:c r="N193" s="119"/>
      <x:c r="O193" s="119"/>
      <x:c r="P193" s="119"/>
    </x:row>
    <x:row r="194">
      <x:c r="A194" s="119"/>
      <x:c r="B194" s="119"/>
      <x:c r="C194" s="119"/>
      <x:c r="D194" s="119"/>
      <x:c r="E194" s="119"/>
      <x:c r="F194" s="119"/>
      <x:c r="G194" s="119"/>
      <x:c r="H194" s="119"/>
      <x:c r="I194" s="119"/>
      <x:c r="J194" s="119"/>
      <x:c r="K194" s="119"/>
      <x:c r="L194" s="119"/>
      <x:c r="M194" s="119"/>
      <x:c r="N194" s="119"/>
      <x:c r="O194" s="119"/>
      <x:c r="P194" s="119"/>
    </x:row>
    <x:row r="195">
      <x:c r="A195" s="119"/>
      <x:c r="B195" s="119"/>
      <x:c r="C195" s="119"/>
      <x:c r="D195" s="119"/>
      <x:c r="E195" s="119"/>
      <x:c r="F195" s="119"/>
      <x:c r="G195" s="119"/>
      <x:c r="H195" s="119"/>
      <x:c r="I195" s="119"/>
      <x:c r="J195" s="119"/>
      <x:c r="K195" s="119"/>
      <x:c r="L195" s="119"/>
      <x:c r="M195" s="119"/>
      <x:c r="N195" s="119"/>
      <x:c r="O195" s="119"/>
      <x:c r="P195" s="119"/>
    </x:row>
    <x:row r="196">
      <x:c r="A196" s="119"/>
      <x:c r="B196" s="119"/>
      <x:c r="C196" s="119"/>
      <x:c r="D196" s="119"/>
      <x:c r="E196" s="119"/>
      <x:c r="F196" s="119"/>
      <x:c r="G196" s="119"/>
      <x:c r="H196" s="119"/>
      <x:c r="I196" s="119"/>
      <x:c r="J196" s="119"/>
      <x:c r="K196" s="119"/>
      <x:c r="L196" s="119"/>
      <x:c r="M196" s="119"/>
      <x:c r="N196" s="119"/>
      <x:c r="O196" s="119"/>
      <x:c r="P196" s="119"/>
    </x:row>
    <x:row r="197">
      <x:c r="A197" s="119"/>
      <x:c r="B197" s="119"/>
      <x:c r="C197" s="119"/>
      <x:c r="D197" s="119"/>
      <x:c r="E197" s="119"/>
      <x:c r="F197" s="119"/>
      <x:c r="G197" s="119"/>
      <x:c r="H197" s="119"/>
      <x:c r="I197" s="119"/>
      <x:c r="J197" s="119"/>
      <x:c r="K197" s="119"/>
      <x:c r="L197" s="119"/>
      <x:c r="M197" s="119"/>
      <x:c r="N197" s="119"/>
      <x:c r="O197" s="119"/>
      <x:c r="P197" s="119"/>
    </x:row>
    <x:row r="198">
      <x:c r="A198" s="119"/>
      <x:c r="B198" s="119"/>
      <x:c r="C198" s="119"/>
      <x:c r="D198" s="119"/>
      <x:c r="E198" s="119"/>
      <x:c r="F198" s="119"/>
      <x:c r="G198" s="119"/>
      <x:c r="H198" s="119"/>
      <x:c r="I198" s="119"/>
      <x:c r="J198" s="119"/>
      <x:c r="K198" s="119"/>
      <x:c r="L198" s="119"/>
      <x:c r="M198" s="119"/>
      <x:c r="N198" s="119"/>
      <x:c r="O198" s="119"/>
      <x:c r="P198" s="119"/>
    </x:row>
    <x:row r="199">
      <x:c r="A199" s="119"/>
      <x:c r="B199" s="119"/>
      <x:c r="C199" s="119"/>
      <x:c r="D199" s="119"/>
      <x:c r="E199" s="119"/>
      <x:c r="F199" s="119"/>
      <x:c r="G199" s="119"/>
      <x:c r="H199" s="119"/>
      <x:c r="I199" s="119"/>
      <x:c r="J199" s="119"/>
      <x:c r="K199" s="119"/>
      <x:c r="L199" s="119"/>
      <x:c r="M199" s="119"/>
      <x:c r="N199" s="119"/>
      <x:c r="O199" s="119"/>
      <x:c r="P199" s="119"/>
    </x:row>
    <x:row r="200">
      <x:c r="A200" s="119"/>
      <x:c r="B200" s="119"/>
      <x:c r="C200" s="119"/>
      <x:c r="D200" s="119"/>
      <x:c r="E200" s="119"/>
      <x:c r="F200" s="119"/>
      <x:c r="G200" s="119"/>
      <x:c r="H200" s="119"/>
      <x:c r="I200" s="119"/>
      <x:c r="J200" s="119"/>
      <x:c r="K200" s="119"/>
      <x:c r="L200" s="119"/>
      <x:c r="M200" s="119"/>
      <x:c r="N200" s="119"/>
      <x:c r="O200" s="119"/>
      <x:c r="P200" s="119"/>
    </x:row>
    <x:row r="201">
      <x:c r="A201" s="119"/>
      <x:c r="B201" s="119"/>
      <x:c r="C201" s="119"/>
      <x:c r="D201" s="119"/>
      <x:c r="E201" s="119"/>
      <x:c r="F201" s="119"/>
      <x:c r="G201" s="119"/>
      <x:c r="H201" s="119"/>
      <x:c r="I201" s="119"/>
      <x:c r="J201" s="119"/>
      <x:c r="K201" s="119"/>
      <x:c r="L201" s="119"/>
      <x:c r="M201" s="119"/>
      <x:c r="N201" s="119"/>
      <x:c r="O201" s="119"/>
      <x:c r="P201" s="119"/>
    </x:row>
    <x:row r="202">
      <x:c r="A202" s="119"/>
      <x:c r="B202" s="119"/>
      <x:c r="C202" s="119"/>
      <x:c r="D202" s="119"/>
      <x:c r="E202" s="119"/>
      <x:c r="F202" s="119"/>
      <x:c r="G202" s="119"/>
      <x:c r="H202" s="119"/>
      <x:c r="I202" s="119"/>
      <x:c r="J202" s="119"/>
      <x:c r="K202" s="119"/>
      <x:c r="L202" s="119"/>
      <x:c r="M202" s="119"/>
      <x:c r="N202" s="119"/>
      <x:c r="O202" s="119"/>
      <x:c r="P202" s="119"/>
    </x:row>
    <x:row r="203">
      <x:c r="A203" s="119"/>
      <x:c r="B203" s="119"/>
      <x:c r="C203" s="119"/>
      <x:c r="D203" s="119"/>
      <x:c r="E203" s="119"/>
      <x:c r="F203" s="119"/>
      <x:c r="G203" s="119"/>
      <x:c r="H203" s="119"/>
      <x:c r="I203" s="119"/>
      <x:c r="J203" s="119"/>
      <x:c r="K203" s="119"/>
      <x:c r="L203" s="119"/>
      <x:c r="M203" s="119"/>
      <x:c r="N203" s="119"/>
      <x:c r="O203" s="119"/>
      <x:c r="P203" s="119"/>
    </x:row>
    <x:row r="204">
      <x:c r="A204" s="119"/>
      <x:c r="B204" s="119"/>
      <x:c r="C204" s="119"/>
      <x:c r="D204" s="119"/>
      <x:c r="E204" s="119"/>
      <x:c r="F204" s="119"/>
      <x:c r="G204" s="119"/>
      <x:c r="H204" s="119"/>
      <x:c r="I204" s="119"/>
      <x:c r="J204" s="119"/>
      <x:c r="K204" s="119"/>
      <x:c r="L204" s="119"/>
      <x:c r="M204" s="119"/>
      <x:c r="N204" s="119"/>
      <x:c r="O204" s="119"/>
      <x:c r="P204" s="119"/>
    </x:row>
    <x:row r="205">
      <x:c r="A205" s="119"/>
      <x:c r="B205" s="119"/>
      <x:c r="C205" s="119"/>
      <x:c r="D205" s="119"/>
      <x:c r="E205" s="119"/>
      <x:c r="F205" s="119"/>
      <x:c r="G205" s="119"/>
      <x:c r="H205" s="119"/>
      <x:c r="I205" s="119"/>
      <x:c r="J205" s="119"/>
      <x:c r="K205" s="119"/>
      <x:c r="L205" s="119"/>
      <x:c r="M205" s="119"/>
      <x:c r="N205" s="119"/>
      <x:c r="O205" s="119"/>
      <x:c r="P205" s="119"/>
    </x:row>
    <x:row r="206">
      <x:c r="A206" s="119"/>
      <x:c r="B206" s="119"/>
      <x:c r="C206" s="119"/>
      <x:c r="D206" s="119"/>
      <x:c r="E206" s="119"/>
      <x:c r="F206" s="119"/>
      <x:c r="G206" s="119"/>
      <x:c r="H206" s="119"/>
      <x:c r="I206" s="119"/>
      <x:c r="J206" s="119"/>
      <x:c r="K206" s="119"/>
      <x:c r="L206" s="119"/>
      <x:c r="M206" s="119"/>
      <x:c r="N206" s="119"/>
      <x:c r="O206" s="119"/>
      <x:c r="P206" s="119"/>
    </x:row>
    <x:row r="207">
      <x:c r="A207" s="119"/>
      <x:c r="B207" s="119"/>
      <x:c r="C207" s="119"/>
      <x:c r="D207" s="119"/>
      <x:c r="E207" s="119"/>
      <x:c r="F207" s="119"/>
      <x:c r="G207" s="119"/>
      <x:c r="H207" s="119"/>
      <x:c r="I207" s="119"/>
      <x:c r="J207" s="119"/>
      <x:c r="K207" s="119"/>
      <x:c r="L207" s="119"/>
      <x:c r="M207" s="119"/>
      <x:c r="N207" s="119"/>
      <x:c r="O207" s="119"/>
      <x:c r="P207" s="119"/>
    </x:row>
    <x:row r="208">
      <x:c r="A208" s="119"/>
      <x:c r="B208" s="119"/>
      <x:c r="C208" s="119"/>
      <x:c r="D208" s="119"/>
      <x:c r="E208" s="119"/>
      <x:c r="F208" s="119"/>
      <x:c r="G208" s="119"/>
      <x:c r="H208" s="119"/>
      <x:c r="I208" s="119"/>
      <x:c r="J208" s="119"/>
      <x:c r="K208" s="119"/>
      <x:c r="L208" s="119"/>
      <x:c r="M208" s="119"/>
      <x:c r="N208" s="119"/>
      <x:c r="O208" s="119"/>
      <x:c r="P208" s="119"/>
    </x:row>
    <x:row r="209">
      <x:c r="A209" s="119"/>
      <x:c r="B209" s="119"/>
      <x:c r="C209" s="119"/>
      <x:c r="D209" s="119"/>
      <x:c r="E209" s="119"/>
      <x:c r="F209" s="119"/>
      <x:c r="G209" s="119"/>
      <x:c r="H209" s="119"/>
      <x:c r="I209" s="119"/>
      <x:c r="J209" s="119"/>
      <x:c r="K209" s="119"/>
      <x:c r="L209" s="119"/>
      <x:c r="M209" s="119"/>
      <x:c r="N209" s="119"/>
      <x:c r="O209" s="119"/>
      <x:c r="P209" s="119"/>
    </x:row>
    <x:row r="210">
      <x:c r="A210" s="119"/>
      <x:c r="B210" s="119"/>
      <x:c r="C210" s="119"/>
      <x:c r="D210" s="119"/>
      <x:c r="E210" s="119"/>
      <x:c r="F210" s="119"/>
      <x:c r="G210" s="119"/>
      <x:c r="H210" s="119"/>
      <x:c r="I210" s="119"/>
      <x:c r="J210" s="119"/>
      <x:c r="K210" s="119"/>
      <x:c r="L210" s="119"/>
      <x:c r="M210" s="119"/>
      <x:c r="N210" s="119"/>
      <x:c r="O210" s="119"/>
      <x:c r="P210" s="119"/>
    </x:row>
    <x:row r="211">
      <x:c r="A211" s="119"/>
      <x:c r="B211" s="119"/>
      <x:c r="C211" s="119"/>
      <x:c r="D211" s="119"/>
      <x:c r="E211" s="119"/>
      <x:c r="F211" s="119"/>
      <x:c r="G211" s="119"/>
      <x:c r="H211" s="119"/>
      <x:c r="I211" s="119"/>
      <x:c r="J211" s="119"/>
      <x:c r="K211" s="119"/>
      <x:c r="L211" s="119"/>
      <x:c r="M211" s="119"/>
      <x:c r="N211" s="119"/>
      <x:c r="O211" s="119"/>
      <x:c r="P211" s="119"/>
    </x:row>
    <x:row r="212">
      <x:c r="A212" s="119"/>
      <x:c r="B212" s="119"/>
      <x:c r="C212" s="119"/>
      <x:c r="D212" s="119"/>
      <x:c r="E212" s="119"/>
      <x:c r="F212" s="119"/>
      <x:c r="G212" s="119"/>
      <x:c r="H212" s="119"/>
      <x:c r="I212" s="119"/>
      <x:c r="J212" s="119"/>
      <x:c r="K212" s="119"/>
      <x:c r="L212" s="119"/>
      <x:c r="M212" s="119"/>
      <x:c r="N212" s="119"/>
      <x:c r="O212" s="119"/>
      <x:c r="P212" s="119"/>
    </x:row>
    <x:row r="213">
      <x:c r="A213" s="119"/>
      <x:c r="B213" s="119"/>
      <x:c r="C213" s="119"/>
      <x:c r="D213" s="119"/>
      <x:c r="E213" s="119"/>
      <x:c r="F213" s="119"/>
      <x:c r="G213" s="119"/>
      <x:c r="H213" s="119"/>
      <x:c r="I213" s="119"/>
      <x:c r="J213" s="119"/>
      <x:c r="K213" s="119"/>
      <x:c r="L213" s="119"/>
      <x:c r="M213" s="119"/>
      <x:c r="N213" s="119"/>
      <x:c r="O213" s="119"/>
      <x:c r="P213" s="119"/>
    </x:row>
    <x:row r="214">
      <x:c r="A214" s="119"/>
      <x:c r="B214" s="119"/>
      <x:c r="C214" s="119"/>
      <x:c r="D214" s="119"/>
      <x:c r="E214" s="119"/>
      <x:c r="F214" s="119"/>
      <x:c r="G214" s="119"/>
      <x:c r="H214" s="119"/>
      <x:c r="I214" s="119"/>
      <x:c r="J214" s="119"/>
      <x:c r="K214" s="119"/>
      <x:c r="L214" s="119"/>
      <x:c r="M214" s="119"/>
      <x:c r="N214" s="119"/>
      <x:c r="O214" s="119"/>
      <x:c r="P214" s="119"/>
    </x:row>
    <x:row r="215">
      <x:c r="A215" s="119"/>
      <x:c r="B215" s="119"/>
      <x:c r="C215" s="119"/>
      <x:c r="D215" s="119"/>
      <x:c r="E215" s="119"/>
      <x:c r="F215" s="119"/>
      <x:c r="G215" s="119"/>
      <x:c r="H215" s="119"/>
      <x:c r="I215" s="119"/>
      <x:c r="J215" s="119"/>
      <x:c r="K215" s="119"/>
      <x:c r="L215" s="119"/>
      <x:c r="M215" s="119"/>
      <x:c r="N215" s="119"/>
      <x:c r="O215" s="119"/>
      <x:c r="P215" s="119"/>
    </x:row>
    <x:row r="216">
      <x:c r="A216" s="119"/>
      <x:c r="B216" s="119"/>
      <x:c r="C216" s="119"/>
      <x:c r="D216" s="119"/>
      <x:c r="E216" s="119"/>
      <x:c r="F216" s="119"/>
      <x:c r="G216" s="119"/>
      <x:c r="H216" s="119"/>
      <x:c r="I216" s="119"/>
      <x:c r="J216" s="119"/>
      <x:c r="K216" s="119"/>
      <x:c r="L216" s="119"/>
      <x:c r="M216" s="119"/>
      <x:c r="N216" s="119"/>
      <x:c r="O216" s="119"/>
      <x:c r="P216" s="119"/>
    </x:row>
    <x:row r="217">
      <x:c r="A217" s="119"/>
      <x:c r="B217" s="119"/>
      <x:c r="C217" s="119"/>
      <x:c r="D217" s="119"/>
      <x:c r="E217" s="119"/>
      <x:c r="F217" s="119"/>
      <x:c r="G217" s="119"/>
      <x:c r="H217" s="119"/>
      <x:c r="I217" s="119"/>
      <x:c r="J217" s="119"/>
      <x:c r="K217" s="119"/>
      <x:c r="L217" s="119"/>
      <x:c r="M217" s="119"/>
      <x:c r="N217" s="119"/>
      <x:c r="O217" s="119"/>
      <x:c r="P217" s="119"/>
    </x:row>
    <x:row r="218">
      <x:c r="A218" s="119"/>
      <x:c r="B218" s="119"/>
      <x:c r="C218" s="119"/>
      <x:c r="D218" s="119"/>
      <x:c r="E218" s="119"/>
      <x:c r="F218" s="119"/>
      <x:c r="G218" s="119"/>
      <x:c r="H218" s="119"/>
      <x:c r="I218" s="119"/>
      <x:c r="J218" s="119"/>
      <x:c r="K218" s="119"/>
      <x:c r="L218" s="119"/>
      <x:c r="M218" s="119"/>
      <x:c r="N218" s="119"/>
      <x:c r="O218" s="119"/>
      <x:c r="P218" s="119"/>
    </x:row>
    <x:row r="219">
      <x:c r="A219" s="119"/>
      <x:c r="B219" s="119"/>
      <x:c r="C219" s="119"/>
      <x:c r="D219" s="119"/>
      <x:c r="E219" s="119"/>
      <x:c r="F219" s="119"/>
      <x:c r="G219" s="119"/>
      <x:c r="H219" s="119"/>
      <x:c r="I219" s="119"/>
      <x:c r="J219" s="119"/>
      <x:c r="K219" s="119"/>
      <x:c r="L219" s="119"/>
      <x:c r="M219" s="119"/>
      <x:c r="N219" s="119"/>
      <x:c r="O219" s="119"/>
      <x:c r="P219" s="119"/>
    </x:row>
    <x:row r="220">
      <x:c r="A220" s="119"/>
      <x:c r="B220" s="119"/>
      <x:c r="C220" s="119"/>
      <x:c r="D220" s="119"/>
      <x:c r="E220" s="119"/>
      <x:c r="F220" s="119"/>
      <x:c r="G220" s="119"/>
      <x:c r="H220" s="119"/>
      <x:c r="I220" s="119"/>
      <x:c r="J220" s="119"/>
      <x:c r="K220" s="119"/>
      <x:c r="L220" s="119"/>
      <x:c r="M220" s="119"/>
      <x:c r="N220" s="119"/>
      <x:c r="O220" s="119"/>
      <x:c r="P220" s="119"/>
    </x:row>
    <x:row r="221">
      <x:c r="A221" s="119"/>
      <x:c r="B221" s="119"/>
      <x:c r="C221" s="119"/>
      <x:c r="D221" s="119"/>
      <x:c r="E221" s="119"/>
      <x:c r="F221" s="119"/>
      <x:c r="G221" s="119"/>
      <x:c r="H221" s="119"/>
      <x:c r="I221" s="119"/>
      <x:c r="J221" s="119"/>
      <x:c r="K221" s="119"/>
      <x:c r="L221" s="119"/>
      <x:c r="M221" s="119"/>
      <x:c r="N221" s="119"/>
      <x:c r="O221" s="119"/>
      <x:c r="P221" s="119"/>
    </x:row>
    <x:row r="222">
      <x:c r="A222" s="119"/>
      <x:c r="B222" s="119"/>
      <x:c r="C222" s="119"/>
      <x:c r="D222" s="119"/>
      <x:c r="E222" s="119"/>
      <x:c r="F222" s="119"/>
      <x:c r="G222" s="119"/>
      <x:c r="H222" s="119"/>
      <x:c r="I222" s="119"/>
      <x:c r="J222" s="119"/>
      <x:c r="K222" s="119"/>
      <x:c r="L222" s="119"/>
      <x:c r="M222" s="119"/>
      <x:c r="N222" s="119"/>
      <x:c r="O222" s="119"/>
      <x:c r="P222" s="119"/>
    </x:row>
    <x:row r="223">
      <x:c r="A223" s="119"/>
      <x:c r="B223" s="119"/>
      <x:c r="C223" s="119"/>
      <x:c r="D223" s="119"/>
      <x:c r="E223" s="119"/>
      <x:c r="F223" s="119"/>
      <x:c r="G223" s="119"/>
      <x:c r="H223" s="119"/>
      <x:c r="I223" s="119"/>
      <x:c r="J223" s="119"/>
      <x:c r="K223" s="119"/>
      <x:c r="L223" s="119"/>
      <x:c r="M223" s="119"/>
      <x:c r="N223" s="119"/>
      <x:c r="O223" s="119"/>
      <x:c r="P223" s="119"/>
    </x:row>
    <x:row r="224">
      <x:c r="A224" s="119"/>
      <x:c r="B224" s="119"/>
      <x:c r="C224" s="119"/>
      <x:c r="D224" s="119"/>
      <x:c r="E224" s="119"/>
      <x:c r="F224" s="119"/>
      <x:c r="G224" s="119"/>
      <x:c r="H224" s="119"/>
      <x:c r="I224" s="119"/>
      <x:c r="J224" s="119"/>
      <x:c r="K224" s="119"/>
      <x:c r="L224" s="119"/>
      <x:c r="M224" s="119"/>
      <x:c r="N224" s="119"/>
      <x:c r="O224" s="119"/>
      <x:c r="P224" s="119"/>
    </x:row>
    <x:row r="225">
      <x:c r="A225" s="119"/>
      <x:c r="B225" s="119"/>
      <x:c r="C225" s="119"/>
      <x:c r="D225" s="119"/>
      <x:c r="E225" s="119"/>
      <x:c r="F225" s="119"/>
      <x:c r="G225" s="119"/>
      <x:c r="H225" s="119"/>
      <x:c r="I225" s="119"/>
      <x:c r="J225" s="119"/>
      <x:c r="K225" s="119"/>
      <x:c r="L225" s="119"/>
      <x:c r="M225" s="119"/>
      <x:c r="N225" s="119"/>
      <x:c r="O225" s="119"/>
      <x:c r="P225" s="119"/>
    </x:row>
    <x:row r="226">
      <x:c r="A226" s="119"/>
      <x:c r="B226" s="119"/>
      <x:c r="C226" s="119"/>
      <x:c r="D226" s="119"/>
      <x:c r="E226" s="119"/>
      <x:c r="F226" s="119"/>
      <x:c r="G226" s="119"/>
      <x:c r="H226" s="119"/>
      <x:c r="I226" s="119"/>
      <x:c r="J226" s="119"/>
      <x:c r="K226" s="119"/>
      <x:c r="L226" s="119"/>
      <x:c r="M226" s="119"/>
      <x:c r="N226" s="119"/>
      <x:c r="O226" s="119"/>
      <x:c r="P226" s="119"/>
    </x:row>
    <x:row r="227">
      <x:c r="A227" s="119"/>
      <x:c r="B227" s="119"/>
      <x:c r="C227" s="119"/>
      <x:c r="D227" s="119"/>
      <x:c r="E227" s="119"/>
      <x:c r="F227" s="119"/>
      <x:c r="G227" s="119"/>
      <x:c r="H227" s="119"/>
      <x:c r="I227" s="119"/>
      <x:c r="J227" s="119"/>
      <x:c r="K227" s="119"/>
      <x:c r="L227" s="119"/>
      <x:c r="M227" s="119"/>
      <x:c r="N227" s="119"/>
      <x:c r="O227" s="119"/>
      <x:c r="P227" s="119"/>
    </x:row>
    <x:row r="228">
      <x:c r="A228" s="119"/>
      <x:c r="B228" s="119"/>
      <x:c r="C228" s="119"/>
      <x:c r="D228" s="119"/>
      <x:c r="E228" s="119"/>
      <x:c r="F228" s="119"/>
      <x:c r="G228" s="119"/>
      <x:c r="H228" s="119"/>
      <x:c r="I228" s="119"/>
      <x:c r="J228" s="119"/>
      <x:c r="K228" s="119"/>
      <x:c r="L228" s="119"/>
      <x:c r="M228" s="119"/>
      <x:c r="N228" s="119"/>
      <x:c r="O228" s="119"/>
      <x:c r="P228" s="119"/>
    </x:row>
    <x:row r="229">
      <x:c r="A229" s="119"/>
      <x:c r="B229" s="119"/>
      <x:c r="C229" s="119"/>
      <x:c r="D229" s="119"/>
      <x:c r="E229" s="119"/>
      <x:c r="F229" s="119"/>
      <x:c r="G229" s="119"/>
      <x:c r="H229" s="119"/>
      <x:c r="I229" s="119"/>
      <x:c r="J229" s="119"/>
      <x:c r="K229" s="119"/>
      <x:c r="L229" s="119"/>
      <x:c r="M229" s="119"/>
      <x:c r="N229" s="119"/>
      <x:c r="O229" s="119"/>
      <x:c r="P229" s="119"/>
    </x:row>
    <x:row r="230">
      <x:c r="A230" s="119"/>
      <x:c r="B230" s="119"/>
      <x:c r="C230" s="119"/>
      <x:c r="D230" s="119"/>
      <x:c r="E230" s="119"/>
      <x:c r="F230" s="119"/>
      <x:c r="G230" s="119"/>
      <x:c r="H230" s="119"/>
      <x:c r="I230" s="119"/>
      <x:c r="J230" s="119"/>
      <x:c r="K230" s="119"/>
      <x:c r="L230" s="119"/>
      <x:c r="M230" s="119"/>
      <x:c r="N230" s="119"/>
      <x:c r="O230" s="119"/>
      <x:c r="P230" s="119"/>
    </x:row>
    <x:row r="231">
      <x:c r="A231" s="119"/>
      <x:c r="B231" s="119"/>
      <x:c r="C231" s="119"/>
      <x:c r="D231" s="119"/>
      <x:c r="E231" s="119"/>
      <x:c r="F231" s="119"/>
      <x:c r="G231" s="119"/>
      <x:c r="H231" s="119"/>
      <x:c r="I231" s="119"/>
      <x:c r="J231" s="119"/>
      <x:c r="K231" s="119"/>
      <x:c r="L231" s="119"/>
      <x:c r="M231" s="119"/>
      <x:c r="N231" s="119"/>
      <x:c r="O231" s="119"/>
      <x:c r="P231" s="119"/>
    </x:row>
    <x:row r="232">
      <x:c r="A232" s="119"/>
      <x:c r="B232" s="119"/>
      <x:c r="C232" s="119"/>
      <x:c r="D232" s="119"/>
      <x:c r="E232" s="119"/>
      <x:c r="F232" s="119"/>
      <x:c r="G232" s="119"/>
      <x:c r="H232" s="119"/>
      <x:c r="I232" s="119"/>
      <x:c r="J232" s="119"/>
      <x:c r="K232" s="119"/>
      <x:c r="L232" s="119"/>
      <x:c r="M232" s="119"/>
      <x:c r="N232" s="119"/>
      <x:c r="O232" s="119"/>
      <x:c r="P232" s="119"/>
    </x:row>
    <x:row r="233">
      <x:c r="A233" s="119"/>
      <x:c r="B233" s="119"/>
      <x:c r="C233" s="119"/>
      <x:c r="D233" s="119"/>
      <x:c r="E233" s="119"/>
      <x:c r="F233" s="119"/>
      <x:c r="G233" s="119"/>
      <x:c r="H233" s="119"/>
      <x:c r="I233" s="119"/>
      <x:c r="J233" s="119"/>
      <x:c r="K233" s="119"/>
      <x:c r="L233" s="119"/>
      <x:c r="M233" s="119"/>
      <x:c r="N233" s="119"/>
      <x:c r="O233" s="119"/>
      <x:c r="P233" s="119"/>
    </x:row>
    <x:row r="234">
      <x:c r="A234" s="119"/>
      <x:c r="B234" s="119"/>
      <x:c r="C234" s="119"/>
      <x:c r="D234" s="119"/>
      <x:c r="E234" s="119"/>
      <x:c r="F234" s="119"/>
      <x:c r="G234" s="119"/>
      <x:c r="H234" s="119"/>
      <x:c r="I234" s="119"/>
      <x:c r="J234" s="119"/>
      <x:c r="K234" s="119"/>
      <x:c r="L234" s="119"/>
      <x:c r="M234" s="119"/>
      <x:c r="N234" s="119"/>
      <x:c r="O234" s="119"/>
      <x:c r="P234" s="119"/>
    </x:row>
    <x:row r="235">
      <x:c r="A235" s="119"/>
      <x:c r="B235" s="119"/>
      <x:c r="C235" s="119"/>
      <x:c r="D235" s="119"/>
      <x:c r="E235" s="119"/>
      <x:c r="F235" s="119"/>
      <x:c r="G235" s="119"/>
      <x:c r="H235" s="119"/>
      <x:c r="I235" s="119"/>
      <x:c r="J235" s="119"/>
      <x:c r="K235" s="119"/>
      <x:c r="L235" s="119"/>
      <x:c r="M235" s="119"/>
      <x:c r="N235" s="119"/>
      <x:c r="O235" s="119"/>
      <x:c r="P235" s="119"/>
    </x:row>
    <x:row r="236">
      <x:c r="A236" s="119"/>
      <x:c r="B236" s="119"/>
      <x:c r="C236" s="119"/>
      <x:c r="D236" s="119"/>
      <x:c r="E236" s="119"/>
      <x:c r="F236" s="119"/>
      <x:c r="G236" s="119"/>
      <x:c r="H236" s="119"/>
      <x:c r="I236" s="119"/>
      <x:c r="J236" s="119"/>
      <x:c r="K236" s="119"/>
      <x:c r="L236" s="119"/>
      <x:c r="M236" s="119"/>
      <x:c r="N236" s="119"/>
      <x:c r="O236" s="119"/>
      <x:c r="P236" s="119"/>
    </x:row>
    <x:row r="237">
      <x:c r="A237" s="119"/>
      <x:c r="B237" s="119"/>
      <x:c r="C237" s="119"/>
      <x:c r="D237" s="119"/>
      <x:c r="E237" s="119"/>
      <x:c r="F237" s="119"/>
      <x:c r="G237" s="119"/>
      <x:c r="H237" s="119"/>
      <x:c r="I237" s="119"/>
      <x:c r="J237" s="119"/>
      <x:c r="K237" s="119"/>
      <x:c r="L237" s="119"/>
      <x:c r="M237" s="119"/>
      <x:c r="N237" s="119"/>
      <x:c r="O237" s="119"/>
      <x:c r="P237" s="119"/>
    </x:row>
    <x:row r="238">
      <x:c r="A238" s="119"/>
      <x:c r="B238" s="119"/>
      <x:c r="C238" s="119"/>
      <x:c r="D238" s="119"/>
      <x:c r="E238" s="119"/>
      <x:c r="F238" s="119"/>
      <x:c r="G238" s="119"/>
      <x:c r="H238" s="119"/>
      <x:c r="I238" s="119"/>
      <x:c r="J238" s="119"/>
      <x:c r="K238" s="119"/>
      <x:c r="L238" s="119"/>
      <x:c r="M238" s="119"/>
      <x:c r="N238" s="119"/>
      <x:c r="O238" s="119"/>
      <x:c r="P238" s="119"/>
    </x:row>
    <x:row r="239">
      <x:c r="A239" s="119"/>
      <x:c r="B239" s="119"/>
      <x:c r="C239" s="119"/>
      <x:c r="D239" s="119"/>
      <x:c r="E239" s="119"/>
      <x:c r="F239" s="119"/>
      <x:c r="G239" s="119"/>
      <x:c r="H239" s="119"/>
      <x:c r="I239" s="119"/>
      <x:c r="J239" s="119"/>
      <x:c r="K239" s="119"/>
      <x:c r="L239" s="119"/>
      <x:c r="M239" s="119"/>
      <x:c r="N239" s="119"/>
      <x:c r="O239" s="119"/>
      <x:c r="P239" s="119"/>
    </x:row>
    <x:row r="240">
      <x:c r="A240" s="119"/>
      <x:c r="B240" s="119"/>
      <x:c r="C240" s="119"/>
      <x:c r="D240" s="119"/>
      <x:c r="E240" s="119"/>
      <x:c r="F240" s="119"/>
      <x:c r="G240" s="119"/>
      <x:c r="H240" s="119"/>
      <x:c r="I240" s="119"/>
      <x:c r="J240" s="119"/>
      <x:c r="K240" s="119"/>
      <x:c r="L240" s="119"/>
      <x:c r="M240" s="119"/>
      <x:c r="N240" s="119"/>
      <x:c r="O240" s="119"/>
      <x:c r="P240" s="119"/>
    </x:row>
    <x:row r="241">
      <x:c r="A241" s="119"/>
      <x:c r="B241" s="119"/>
      <x:c r="C241" s="119"/>
      <x:c r="D241" s="119"/>
      <x:c r="E241" s="119"/>
      <x:c r="F241" s="119"/>
      <x:c r="G241" s="119"/>
      <x:c r="H241" s="119"/>
      <x:c r="I241" s="119"/>
      <x:c r="J241" s="119"/>
      <x:c r="K241" s="119"/>
      <x:c r="L241" s="119"/>
      <x:c r="M241" s="119"/>
      <x:c r="N241" s="119"/>
      <x:c r="O241" s="119"/>
      <x:c r="P241" s="119"/>
    </x:row>
    <x:row r="242">
      <x:c r="A242" s="119"/>
      <x:c r="B242" s="119"/>
      <x:c r="C242" s="119"/>
      <x:c r="D242" s="119"/>
      <x:c r="E242" s="119"/>
      <x:c r="F242" s="119"/>
      <x:c r="G242" s="119"/>
      <x:c r="H242" s="119"/>
      <x:c r="I242" s="119"/>
      <x:c r="J242" s="119"/>
      <x:c r="K242" s="119"/>
      <x:c r="L242" s="119"/>
      <x:c r="M242" s="119"/>
      <x:c r="N242" s="119"/>
      <x:c r="O242" s="119"/>
      <x:c r="P242" s="119"/>
    </x:row>
    <x:row r="243">
      <x:c r="A243" s="119"/>
      <x:c r="B243" s="119"/>
      <x:c r="C243" s="119"/>
      <x:c r="D243" s="119"/>
      <x:c r="E243" s="119"/>
      <x:c r="F243" s="119"/>
      <x:c r="G243" s="119"/>
      <x:c r="H243" s="119"/>
      <x:c r="I243" s="119"/>
      <x:c r="J243" s="119"/>
      <x:c r="K243" s="119"/>
      <x:c r="L243" s="119"/>
      <x:c r="M243" s="119"/>
      <x:c r="N243" s="119"/>
      <x:c r="O243" s="119"/>
      <x:c r="P243" s="119"/>
    </x:row>
    <x:row r="244">
      <x:c r="A244" s="119"/>
      <x:c r="B244" s="119"/>
      <x:c r="C244" s="119"/>
      <x:c r="D244" s="119"/>
      <x:c r="E244" s="119"/>
      <x:c r="F244" s="119"/>
      <x:c r="G244" s="119"/>
      <x:c r="H244" s="119"/>
      <x:c r="I244" s="119"/>
      <x:c r="J244" s="119"/>
      <x:c r="K244" s="119"/>
      <x:c r="L244" s="119"/>
      <x:c r="M244" s="119"/>
      <x:c r="N244" s="119"/>
      <x:c r="O244" s="119"/>
      <x:c r="P244" s="119"/>
    </x:row>
    <x:row r="245">
      <x:c r="A245" s="119"/>
      <x:c r="B245" s="119"/>
      <x:c r="C245" s="119"/>
      <x:c r="D245" s="119"/>
      <x:c r="E245" s="119"/>
      <x:c r="F245" s="119"/>
      <x:c r="G245" s="119"/>
      <x:c r="H245" s="119"/>
      <x:c r="I245" s="119"/>
      <x:c r="J245" s="119"/>
      <x:c r="K245" s="119"/>
      <x:c r="L245" s="119"/>
      <x:c r="M245" s="119"/>
      <x:c r="N245" s="119"/>
      <x:c r="O245" s="119"/>
      <x:c r="P245" s="119"/>
    </x:row>
    <x:row r="246">
      <x:c r="A246" s="119"/>
      <x:c r="B246" s="119"/>
      <x:c r="C246" s="119"/>
      <x:c r="D246" s="119"/>
      <x:c r="E246" s="119"/>
      <x:c r="F246" s="119"/>
      <x:c r="G246" s="119"/>
      <x:c r="H246" s="119"/>
      <x:c r="I246" s="119"/>
      <x:c r="J246" s="119"/>
      <x:c r="K246" s="119"/>
      <x:c r="L246" s="119"/>
      <x:c r="M246" s="119"/>
      <x:c r="N246" s="119"/>
      <x:c r="O246" s="119"/>
      <x:c r="P246" s="119"/>
    </x:row>
    <x:row r="247">
      <x:c r="A247" s="119"/>
      <x:c r="B247" s="119"/>
      <x:c r="C247" s="119"/>
      <x:c r="D247" s="119"/>
      <x:c r="E247" s="119"/>
      <x:c r="F247" s="119"/>
      <x:c r="G247" s="119"/>
      <x:c r="H247" s="119"/>
      <x:c r="I247" s="119"/>
      <x:c r="J247" s="119"/>
      <x:c r="K247" s="119"/>
      <x:c r="L247" s="119"/>
      <x:c r="M247" s="119"/>
      <x:c r="N247" s="119"/>
      <x:c r="O247" s="119"/>
      <x:c r="P247" s="119"/>
    </x:row>
    <x:row r="248">
      <x:c r="A248" s="119"/>
      <x:c r="B248" s="119"/>
      <x:c r="C248" s="119"/>
      <x:c r="D248" s="119"/>
      <x:c r="E248" s="119"/>
      <x:c r="F248" s="119"/>
      <x:c r="G248" s="119"/>
      <x:c r="H248" s="119"/>
      <x:c r="I248" s="119"/>
      <x:c r="J248" s="119"/>
      <x:c r="K248" s="119"/>
      <x:c r="L248" s="119"/>
      <x:c r="M248" s="119"/>
      <x:c r="N248" s="119"/>
      <x:c r="O248" s="119"/>
      <x:c r="P248" s="119"/>
    </x:row>
    <x:row r="249">
      <x:c r="A249" s="119"/>
      <x:c r="B249" s="119"/>
      <x:c r="C249" s="119"/>
      <x:c r="D249" s="119"/>
      <x:c r="E249" s="119"/>
      <x:c r="F249" s="119"/>
      <x:c r="G249" s="119"/>
      <x:c r="H249" s="119"/>
      <x:c r="I249" s="119"/>
      <x:c r="J249" s="119"/>
      <x:c r="K249" s="119"/>
      <x:c r="L249" s="119"/>
      <x:c r="M249" s="119"/>
      <x:c r="N249" s="119"/>
      <x:c r="O249" s="119"/>
      <x:c r="P249" s="119"/>
    </x:row>
    <x:row r="250">
      <x:c r="A250" s="119"/>
      <x:c r="B250" s="119"/>
      <x:c r="C250" s="119"/>
      <x:c r="D250" s="119"/>
      <x:c r="E250" s="119"/>
      <x:c r="F250" s="119"/>
      <x:c r="G250" s="119"/>
      <x:c r="H250" s="119"/>
      <x:c r="I250" s="119"/>
      <x:c r="J250" s="119"/>
      <x:c r="K250" s="119"/>
      <x:c r="L250" s="119"/>
      <x:c r="M250" s="119"/>
      <x:c r="N250" s="119"/>
      <x:c r="O250" s="119"/>
      <x:c r="P250" s="119"/>
    </x:row>
  </x:sheetData>
  <x:mergeCells>
    <x:mergeCell ref="A1:H2"/>
    <x:mergeCell ref="E4:H4"/>
    <x:mergeCell ref="E5:H11"/>
    <x:mergeCell ref="A13:H13"/>
    <x:mergeCell ref="A14:H19"/>
    <x:mergeCell ref="A21:H21"/>
    <x:mergeCell ref="A22:H28"/>
  </x:mergeCells>
  <x:pageMargins left="0.7" right="0.7" top="0.75" bottom="0.75" header="0.3" footer="0.3"/>
</x:worksheet>
</file>

<file path=xl/worksheets/sheet8.xml><?xml version="1.0" encoding="utf-8"?>
<x:worksheet xmlns:x="http://schemas.openxmlformats.org/spreadsheetml/2006/main">
  <x:sheetFormatPr defaultRowHeight="15"/>
  <x:cols>
    <x:col min="1" max="1" width="52" hidden="0" customWidth="1"/>
    <x:col min="2" max="2" width="66" hidden="0" customWidth="1"/>
    <x:col min="3" max="3" width="76" hidden="0" customWidth="1"/>
    <x:col min="4" max="4" width="40" hidden="0" customWidth="1"/>
  </x:cols>
  <x:sheetData>
    <x:row r="1">
      <x:c r="A1" s="168" t="str">
        <x:v>Source</x:v>
      </x:c>
      <x:c r="B1" s="168" t="str">
        <x:v>Use in Project</x:v>
      </x:c>
      <x:c r="C1" s="168" t="str">
        <x:v>URL</x:v>
      </x:c>
      <x:c r="D1" s="168" t="str">
        <x:v>Notes</x:v>
      </x:c>
      <x:c r="E1" s="119"/>
      <x:c r="F1" s="119"/>
      <x:c r="G1" s="119"/>
      <x:c r="H1" s="119"/>
      <x:c r="I1" s="119"/>
      <x:c r="J1" s="119"/>
      <x:c r="K1" s="119"/>
      <x:c r="L1" s="119"/>
      <x:c r="M1" s="119"/>
      <x:c r="N1" s="119"/>
      <x:c r="O1" s="119"/>
      <x:c r="P1" s="119"/>
    </x:row>
    <x:row r="2">
      <x:c r="A2" s="20" t="str">
        <x:v>NIST Cybersecurity Framework (CSF) 2.0</x:v>
      </x:c>
      <x:c r="B2" s="20" t="str">
        <x:v>Primary framework and source of the six Functions and 22 Categories used in this workbook.</x:v>
      </x:c>
      <x:c r="C2" s="20" t="str">
        <x:v>https://www.nist.gov/cyberframework</x:v>
      </x:c>
      <x:c r="D2" s="20" t="str">
        <x:v>CSF 2.0 is outcome-based and applicable across organizations.</x:v>
      </x:c>
      <x:c r="E2" s="119"/>
      <x:c r="F2" s="119"/>
      <x:c r="G2" s="119"/>
      <x:c r="H2" s="119"/>
      <x:c r="I2" s="119"/>
      <x:c r="J2" s="119"/>
      <x:c r="K2" s="119"/>
      <x:c r="L2" s="119"/>
      <x:c r="M2" s="119"/>
      <x:c r="N2" s="119"/>
      <x:c r="O2" s="119"/>
      <x:c r="P2" s="119"/>
    </x:row>
    <x:row r="3">
      <x:c r="A3" s="20" t="str">
        <x:v>NIST CSF 2.0 FAQs</x:v>
      </x:c>
      <x:c r="B3" s="20" t="str">
        <x:v>Supports interpretation of the Framework Core as Functions, Categories and Subcategories.</x:v>
      </x:c>
      <x:c r="C3" s="20" t="str">
        <x:v>https://www.nist.gov/cyberframework/faqs</x:v>
      </x:c>
      <x:c r="D3" s="20" t="str">
        <x:v>NIST explains that Core outcomes are non-prescriptive.</x:v>
      </x:c>
      <x:c r="E3" s="119"/>
      <x:c r="F3" s="119"/>
      <x:c r="G3" s="119"/>
      <x:c r="H3" s="119"/>
      <x:c r="I3" s="119"/>
      <x:c r="J3" s="119"/>
      <x:c r="K3" s="119"/>
      <x:c r="L3" s="119"/>
      <x:c r="M3" s="119"/>
      <x:c r="N3" s="119"/>
      <x:c r="O3" s="119"/>
      <x:c r="P3" s="119"/>
    </x:row>
    <x:row r="4">
      <x:c r="A4" s="20" t="str">
        <x:v>NIST CSF 2.0 Quick Start Guides</x:v>
      </x:c>
      <x:c r="B4" s="20" t="str">
        <x:v>Supporting implementation resources including Organizational Profiles, ERM, SCRM and Tiers.</x:v>
      </x:c>
      <x:c r="C4" s="20" t="str">
        <x:v>https://www.nist.gov/cyberframework/quick-start-guides</x:v>
      </x:c>
      <x:c r="D4" s="20" t="str">
        <x:v>Page updated March 23, 2026.</x:v>
      </x:c>
      <x:c r="E4" s="119"/>
      <x:c r="F4" s="119"/>
      <x:c r="G4" s="119"/>
      <x:c r="H4" s="119"/>
      <x:c r="I4" s="119"/>
      <x:c r="J4" s="119"/>
      <x:c r="K4" s="119"/>
      <x:c r="L4" s="119"/>
      <x:c r="M4" s="119"/>
      <x:c r="N4" s="119"/>
      <x:c r="O4" s="119"/>
      <x:c r="P4" s="119"/>
    </x:row>
    <x:row r="5">
      <x:c r="A5" s="20" t="str">
        <x:v>NIST SP 1303 — CSF 2.0 Enterprise Risk Management Quick-Start Guide</x:v>
      </x:c>
      <x:c r="B5" s="20" t="str">
        <x:v>Supports integration of cybersecurity risk management with enterprise risk-management communication.</x:v>
      </x:c>
      <x:c r="C5" s="20" t="str">
        <x:v>https://www.nist.gov/publications/nist-cybersecurity-framework-20-enterprise-risk-management-quick-start-guide</x:v>
      </x:c>
      <x:c r="D5" s="20" t="str">
        <x:v>Published October 2024.</x:v>
      </x:c>
      <x:c r="E5" s="119"/>
      <x:c r="F5" s="119"/>
      <x:c r="G5" s="119"/>
      <x:c r="H5" s="119"/>
      <x:c r="I5" s="119"/>
      <x:c r="J5" s="119"/>
      <x:c r="K5" s="119"/>
      <x:c r="L5" s="119"/>
      <x:c r="M5" s="119"/>
      <x:c r="N5" s="119"/>
      <x:c r="O5" s="119"/>
      <x:c r="P5" s="119"/>
    </x:row>
    <x:row r="6">
      <x:c r="A6" s="20" t="str">
        <x:v>NIST SP 1308 — CSF 2.0: Cybersecurity, Enterprise Risk Management, and Workforce Management QSG</x:v>
      </x:c>
      <x:c r="B6" s="20" t="str">
        <x:v>Supports risk-informed communication and workforce/enterprise integration.</x:v>
      </x:c>
      <x:c r="C6" s="20" t="str">
        <x:v>https://www.nist.gov/publications/nist-cybersecurity-framework-20-cybersecurity-enterprise-risk-management-and-workforce</x:v>
      </x:c>
      <x:c r="D6" s="20" t="str">
        <x:v>Published March 23, 2026.</x:v>
      </x:c>
      <x:c r="E6" s="119"/>
      <x:c r="F6" s="119"/>
      <x:c r="G6" s="119"/>
      <x:c r="H6" s="119"/>
      <x:c r="I6" s="119"/>
      <x:c r="J6" s="119"/>
      <x:c r="K6" s="119"/>
      <x:c r="L6" s="119"/>
      <x:c r="M6" s="119"/>
      <x:c r="N6" s="119"/>
      <x:c r="O6" s="119"/>
      <x:c r="P6" s="119"/>
    </x:row>
    <x:row r="7">
      <x:c r="A7" s="119"/>
      <x:c r="B7" s="119"/>
      <x:c r="C7" s="119"/>
      <x:c r="D7" s="119"/>
      <x:c r="E7" s="119"/>
      <x:c r="F7" s="119"/>
      <x:c r="G7" s="119"/>
      <x:c r="H7" s="119"/>
      <x:c r="I7" s="119"/>
      <x:c r="J7" s="119"/>
      <x:c r="K7" s="119"/>
      <x:c r="L7" s="119"/>
      <x:c r="M7" s="119"/>
      <x:c r="N7" s="119"/>
      <x:c r="O7" s="119"/>
      <x:c r="P7" s="119"/>
    </x:row>
    <x:row r="8">
      <x:c r="A8" s="119"/>
      <x:c r="B8" s="119"/>
      <x:c r="C8" s="119"/>
      <x:c r="D8" s="119"/>
      <x:c r="E8" s="119"/>
      <x:c r="F8" s="119"/>
      <x:c r="G8" s="119"/>
      <x:c r="H8" s="119"/>
      <x:c r="I8" s="119"/>
      <x:c r="J8" s="119"/>
      <x:c r="K8" s="119"/>
      <x:c r="L8" s="119"/>
      <x:c r="M8" s="119"/>
      <x:c r="N8" s="119"/>
      <x:c r="O8" s="119"/>
      <x:c r="P8" s="119"/>
    </x:row>
    <x:row r="9">
      <x:c r="A9" s="176" t="str">
        <x:v>Portfolio Disclaimer</x:v>
      </x:c>
      <x:c r="B9" s="176"/>
      <x:c r="C9" s="176"/>
      <x:c r="D9" s="176"/>
      <x:c r="E9" s="119"/>
      <x:c r="F9" s="119"/>
      <x:c r="G9" s="119"/>
      <x:c r="H9" s="119"/>
      <x:c r="I9" s="119"/>
      <x:c r="J9" s="119"/>
      <x:c r="K9" s="119"/>
      <x:c r="L9" s="119"/>
      <x:c r="M9" s="119"/>
      <x:c r="N9" s="119"/>
      <x:c r="O9" s="119"/>
      <x:c r="P9" s="119"/>
    </x:row>
    <x:row r="10">
      <x:c r="A10" s="162" t="str">
        <x:v>This workbook is a simulated NIST CSF 2.0 Current/Target Profile and control-mapping exercise for a fictional Jamaican company. Implementation scores, evidence status, owners, dates, risk mappings and remediation recommendations are illustrative analyst judgments. NIST CSF 2.0 is voluntary and outcome-based. This workbook does not represent NIST certification, an official NIST maturity assessment, legal compliance or regulatory approval.</x:v>
      </x:c>
      <x:c r="B10" s="162"/>
      <x:c r="C10" s="162"/>
      <x:c r="D10" s="162"/>
      <x:c r="E10" s="119"/>
      <x:c r="F10" s="119"/>
      <x:c r="G10" s="119"/>
      <x:c r="H10" s="119"/>
      <x:c r="I10" s="119"/>
      <x:c r="J10" s="119"/>
      <x:c r="K10" s="119"/>
      <x:c r="L10" s="119"/>
      <x:c r="M10" s="119"/>
      <x:c r="N10" s="119"/>
      <x:c r="O10" s="119"/>
      <x:c r="P10" s="119"/>
    </x:row>
    <x:row r="11">
      <x:c r="A11" s="162"/>
      <x:c r="B11" s="162"/>
      <x:c r="C11" s="162"/>
      <x:c r="D11" s="162"/>
      <x:c r="E11" s="119"/>
      <x:c r="F11" s="119"/>
      <x:c r="G11" s="119"/>
      <x:c r="H11" s="119"/>
      <x:c r="I11" s="119"/>
      <x:c r="J11" s="119"/>
      <x:c r="K11" s="119"/>
      <x:c r="L11" s="119"/>
      <x:c r="M11" s="119"/>
      <x:c r="N11" s="119"/>
      <x:c r="O11" s="119"/>
      <x:c r="P11" s="119"/>
    </x:row>
    <x:row r="12">
      <x:c r="A12" s="162"/>
      <x:c r="B12" s="162"/>
      <x:c r="C12" s="162"/>
      <x:c r="D12" s="162"/>
      <x:c r="E12" s="119"/>
      <x:c r="F12" s="119"/>
      <x:c r="G12" s="119"/>
      <x:c r="H12" s="119"/>
      <x:c r="I12" s="119"/>
      <x:c r="J12" s="119"/>
      <x:c r="K12" s="119"/>
      <x:c r="L12" s="119"/>
      <x:c r="M12" s="119"/>
      <x:c r="N12" s="119"/>
      <x:c r="O12" s="119"/>
      <x:c r="P12" s="119"/>
    </x:row>
    <x:row r="13">
      <x:c r="A13" s="162"/>
      <x:c r="B13" s="162"/>
      <x:c r="C13" s="162"/>
      <x:c r="D13" s="162"/>
      <x:c r="E13" s="119"/>
      <x:c r="F13" s="119"/>
      <x:c r="G13" s="119"/>
      <x:c r="H13" s="119"/>
      <x:c r="I13" s="119"/>
      <x:c r="J13" s="119"/>
      <x:c r="K13" s="119"/>
      <x:c r="L13" s="119"/>
      <x:c r="M13" s="119"/>
      <x:c r="N13" s="119"/>
      <x:c r="O13" s="119"/>
      <x:c r="P13" s="119"/>
    </x:row>
    <x:row r="14">
      <x:c r="A14" s="162"/>
      <x:c r="B14" s="162"/>
      <x:c r="C14" s="162"/>
      <x:c r="D14" s="162"/>
      <x:c r="E14" s="119"/>
      <x:c r="F14" s="119"/>
      <x:c r="G14" s="119"/>
      <x:c r="H14" s="119"/>
      <x:c r="I14" s="119"/>
      <x:c r="J14" s="119"/>
      <x:c r="K14" s="119"/>
      <x:c r="L14" s="119"/>
      <x:c r="M14" s="119"/>
      <x:c r="N14" s="119"/>
      <x:c r="O14" s="119"/>
      <x:c r="P14" s="119"/>
    </x:row>
    <x:row r="15">
      <x:c r="A15" s="162"/>
      <x:c r="B15" s="162"/>
      <x:c r="C15" s="162"/>
      <x:c r="D15" s="162"/>
      <x:c r="E15" s="119"/>
      <x:c r="F15" s="119"/>
      <x:c r="G15" s="119"/>
      <x:c r="H15" s="119"/>
      <x:c r="I15" s="119"/>
      <x:c r="J15" s="119"/>
      <x:c r="K15" s="119"/>
      <x:c r="L15" s="119"/>
      <x:c r="M15" s="119"/>
      <x:c r="N15" s="119"/>
      <x:c r="O15" s="119"/>
      <x:c r="P15" s="119"/>
    </x:row>
    <x:row r="16">
      <x:c r="A16" s="119"/>
      <x:c r="B16" s="119"/>
      <x:c r="C16" s="119"/>
      <x:c r="D16" s="119"/>
      <x:c r="E16" s="119"/>
      <x:c r="F16" s="119"/>
      <x:c r="G16" s="119"/>
      <x:c r="H16" s="119"/>
      <x:c r="I16" s="119"/>
      <x:c r="J16" s="119"/>
      <x:c r="K16" s="119"/>
      <x:c r="L16" s="119"/>
      <x:c r="M16" s="119"/>
      <x:c r="N16" s="119"/>
      <x:c r="O16" s="119"/>
      <x:c r="P16" s="119"/>
    </x:row>
    <x:row r="17">
      <x:c r="A17" s="119"/>
      <x:c r="B17" s="119"/>
      <x:c r="C17" s="119"/>
      <x:c r="D17" s="119"/>
      <x:c r="E17" s="119"/>
      <x:c r="F17" s="119"/>
      <x:c r="G17" s="119"/>
      <x:c r="H17" s="119"/>
      <x:c r="I17" s="119"/>
      <x:c r="J17" s="119"/>
      <x:c r="K17" s="119"/>
      <x:c r="L17" s="119"/>
      <x:c r="M17" s="119"/>
      <x:c r="N17" s="119"/>
      <x:c r="O17" s="119"/>
      <x:c r="P17" s="119"/>
    </x:row>
    <x:row r="18">
      <x:c r="A18" s="119"/>
      <x:c r="B18" s="119"/>
      <x:c r="C18" s="119"/>
      <x:c r="D18" s="119"/>
      <x:c r="E18" s="119"/>
      <x:c r="F18" s="119"/>
      <x:c r="G18" s="119"/>
      <x:c r="H18" s="119"/>
      <x:c r="I18" s="119"/>
      <x:c r="J18" s="119"/>
      <x:c r="K18" s="119"/>
      <x:c r="L18" s="119"/>
      <x:c r="M18" s="119"/>
      <x:c r="N18" s="119"/>
      <x:c r="O18" s="119"/>
      <x:c r="P18" s="119"/>
    </x:row>
    <x:row r="19">
      <x:c r="A19" s="119"/>
      <x:c r="B19" s="119"/>
      <x:c r="C19" s="119"/>
      <x:c r="D19" s="119"/>
      <x:c r="E19" s="119"/>
      <x:c r="F19" s="119"/>
      <x:c r="G19" s="119"/>
      <x:c r="H19" s="119"/>
      <x:c r="I19" s="119"/>
      <x:c r="J19" s="119"/>
      <x:c r="K19" s="119"/>
      <x:c r="L19" s="119"/>
      <x:c r="M19" s="119"/>
      <x:c r="N19" s="119"/>
      <x:c r="O19" s="119"/>
      <x:c r="P19" s="119"/>
    </x:row>
    <x:row r="20">
      <x:c r="A20" s="119"/>
      <x:c r="B20" s="119"/>
      <x:c r="C20" s="119"/>
      <x:c r="D20" s="119"/>
      <x:c r="E20" s="119"/>
      <x:c r="F20" s="119"/>
      <x:c r="G20" s="119"/>
      <x:c r="H20" s="119"/>
      <x:c r="I20" s="119"/>
      <x:c r="J20" s="119"/>
      <x:c r="K20" s="119"/>
      <x:c r="L20" s="119"/>
      <x:c r="M20" s="119"/>
      <x:c r="N20" s="119"/>
      <x:c r="O20" s="119"/>
      <x:c r="P20" s="119"/>
    </x:row>
    <x:row r="21">
      <x:c r="A21" s="119"/>
      <x:c r="B21" s="119"/>
      <x:c r="C21" s="119"/>
      <x:c r="D21" s="119"/>
      <x:c r="E21" s="119"/>
      <x:c r="F21" s="119"/>
      <x:c r="G21" s="119"/>
      <x:c r="H21" s="119"/>
      <x:c r="I21" s="119"/>
      <x:c r="J21" s="119"/>
      <x:c r="K21" s="119"/>
      <x:c r="L21" s="119"/>
      <x:c r="M21" s="119"/>
      <x:c r="N21" s="119"/>
      <x:c r="O21" s="119"/>
      <x:c r="P21" s="119"/>
    </x:row>
    <x:row r="22">
      <x:c r="A22" s="119"/>
      <x:c r="B22" s="119"/>
      <x:c r="C22" s="119"/>
      <x:c r="D22" s="119"/>
      <x:c r="E22" s="119"/>
      <x:c r="F22" s="119"/>
      <x:c r="G22" s="119"/>
      <x:c r="H22" s="119"/>
      <x:c r="I22" s="119"/>
      <x:c r="J22" s="119"/>
      <x:c r="K22" s="119"/>
      <x:c r="L22" s="119"/>
      <x:c r="M22" s="119"/>
      <x:c r="N22" s="119"/>
      <x:c r="O22" s="119"/>
      <x:c r="P22" s="119"/>
    </x:row>
    <x:row r="23">
      <x:c r="A23" s="119"/>
      <x:c r="B23" s="119"/>
      <x:c r="C23" s="119"/>
      <x:c r="D23" s="119"/>
      <x:c r="E23" s="119"/>
      <x:c r="F23" s="119"/>
      <x:c r="G23" s="119"/>
      <x:c r="H23" s="119"/>
      <x:c r="I23" s="119"/>
      <x:c r="J23" s="119"/>
      <x:c r="K23" s="119"/>
      <x:c r="L23" s="119"/>
      <x:c r="M23" s="119"/>
      <x:c r="N23" s="119"/>
      <x:c r="O23" s="119"/>
      <x:c r="P23" s="119"/>
    </x:row>
    <x:row r="24">
      <x:c r="A24" s="119"/>
      <x:c r="B24" s="119"/>
      <x:c r="C24" s="119"/>
      <x:c r="D24" s="119"/>
      <x:c r="E24" s="119"/>
      <x:c r="F24" s="119"/>
      <x:c r="G24" s="119"/>
      <x:c r="H24" s="119"/>
      <x:c r="I24" s="119"/>
      <x:c r="J24" s="119"/>
      <x:c r="K24" s="119"/>
      <x:c r="L24" s="119"/>
      <x:c r="M24" s="119"/>
      <x:c r="N24" s="119"/>
      <x:c r="O24" s="119"/>
      <x:c r="P24" s="119"/>
    </x:row>
    <x:row r="25">
      <x:c r="A25" s="119"/>
      <x:c r="B25" s="119"/>
      <x:c r="C25" s="119"/>
      <x:c r="D25" s="119"/>
      <x:c r="E25" s="119"/>
      <x:c r="F25" s="119"/>
      <x:c r="G25" s="119"/>
      <x:c r="H25" s="119"/>
      <x:c r="I25" s="119"/>
      <x:c r="J25" s="119"/>
      <x:c r="K25" s="119"/>
      <x:c r="L25" s="119"/>
      <x:c r="M25" s="119"/>
      <x:c r="N25" s="119"/>
      <x:c r="O25" s="119"/>
      <x:c r="P25" s="119"/>
    </x:row>
    <x:row r="26">
      <x:c r="A26" s="119"/>
      <x:c r="B26" s="119"/>
      <x:c r="C26" s="119"/>
      <x:c r="D26" s="119"/>
      <x:c r="E26" s="119"/>
      <x:c r="F26" s="119"/>
      <x:c r="G26" s="119"/>
      <x:c r="H26" s="119"/>
      <x:c r="I26" s="119"/>
      <x:c r="J26" s="119"/>
      <x:c r="K26" s="119"/>
      <x:c r="L26" s="119"/>
      <x:c r="M26" s="119"/>
      <x:c r="N26" s="119"/>
      <x:c r="O26" s="119"/>
      <x:c r="P26" s="119"/>
    </x:row>
    <x:row r="27">
      <x:c r="A27" s="119"/>
      <x:c r="B27" s="119"/>
      <x:c r="C27" s="119"/>
      <x:c r="D27" s="119"/>
      <x:c r="E27" s="119"/>
      <x:c r="F27" s="119"/>
      <x:c r="G27" s="119"/>
      <x:c r="H27" s="119"/>
      <x:c r="I27" s="119"/>
      <x:c r="J27" s="119"/>
      <x:c r="K27" s="119"/>
      <x:c r="L27" s="119"/>
      <x:c r="M27" s="119"/>
      <x:c r="N27" s="119"/>
      <x:c r="O27" s="119"/>
      <x:c r="P27" s="119"/>
    </x:row>
    <x:row r="28">
      <x:c r="A28" s="119"/>
      <x:c r="B28" s="119"/>
      <x:c r="C28" s="119"/>
      <x:c r="D28" s="119"/>
      <x:c r="E28" s="119"/>
      <x:c r="F28" s="119"/>
      <x:c r="G28" s="119"/>
      <x:c r="H28" s="119"/>
      <x:c r="I28" s="119"/>
      <x:c r="J28" s="119"/>
      <x:c r="K28" s="119"/>
      <x:c r="L28" s="119"/>
      <x:c r="M28" s="119"/>
      <x:c r="N28" s="119"/>
      <x:c r="O28" s="119"/>
      <x:c r="P28" s="119"/>
    </x:row>
    <x:row r="29">
      <x:c r="A29" s="119"/>
      <x:c r="B29" s="119"/>
      <x:c r="C29" s="119"/>
      <x:c r="D29" s="119"/>
      <x:c r="E29" s="119"/>
      <x:c r="F29" s="119"/>
      <x:c r="G29" s="119"/>
      <x:c r="H29" s="119"/>
      <x:c r="I29" s="119"/>
      <x:c r="J29" s="119"/>
      <x:c r="K29" s="119"/>
      <x:c r="L29" s="119"/>
      <x:c r="M29" s="119"/>
      <x:c r="N29" s="119"/>
      <x:c r="O29" s="119"/>
      <x:c r="P29" s="119"/>
    </x:row>
    <x:row r="30">
      <x:c r="A30" s="119"/>
      <x:c r="B30" s="119"/>
      <x:c r="C30" s="119"/>
      <x:c r="D30" s="119"/>
      <x:c r="E30" s="119"/>
      <x:c r="F30" s="119"/>
      <x:c r="G30" s="119"/>
      <x:c r="H30" s="119"/>
      <x:c r="I30" s="119"/>
      <x:c r="J30" s="119"/>
      <x:c r="K30" s="119"/>
      <x:c r="L30" s="119"/>
      <x:c r="M30" s="119"/>
      <x:c r="N30" s="119"/>
      <x:c r="O30" s="119"/>
      <x:c r="P30" s="119"/>
    </x:row>
    <x:row r="31">
      <x:c r="A31" s="119"/>
      <x:c r="B31" s="119"/>
      <x:c r="C31" s="119"/>
      <x:c r="D31" s="119"/>
      <x:c r="E31" s="119"/>
      <x:c r="F31" s="119"/>
      <x:c r="G31" s="119"/>
      <x:c r="H31" s="119"/>
      <x:c r="I31" s="119"/>
      <x:c r="J31" s="119"/>
      <x:c r="K31" s="119"/>
      <x:c r="L31" s="119"/>
      <x:c r="M31" s="119"/>
      <x:c r="N31" s="119"/>
      <x:c r="O31" s="119"/>
      <x:c r="P31" s="119"/>
    </x:row>
    <x:row r="32">
      <x:c r="A32" s="119"/>
      <x:c r="B32" s="119"/>
      <x:c r="C32" s="119"/>
      <x:c r="D32" s="119"/>
      <x:c r="E32" s="119"/>
      <x:c r="F32" s="119"/>
      <x:c r="G32" s="119"/>
      <x:c r="H32" s="119"/>
      <x:c r="I32" s="119"/>
      <x:c r="J32" s="119"/>
      <x:c r="K32" s="119"/>
      <x:c r="L32" s="119"/>
      <x:c r="M32" s="119"/>
      <x:c r="N32" s="119"/>
      <x:c r="O32" s="119"/>
      <x:c r="P32" s="119"/>
    </x:row>
    <x:row r="33">
      <x:c r="A33" s="119"/>
      <x:c r="B33" s="119"/>
      <x:c r="C33" s="119"/>
      <x:c r="D33" s="119"/>
      <x:c r="E33" s="119"/>
      <x:c r="F33" s="119"/>
      <x:c r="G33" s="119"/>
      <x:c r="H33" s="119"/>
      <x:c r="I33" s="119"/>
      <x:c r="J33" s="119"/>
      <x:c r="K33" s="119"/>
      <x:c r="L33" s="119"/>
      <x:c r="M33" s="119"/>
      <x:c r="N33" s="119"/>
      <x:c r="O33" s="119"/>
      <x:c r="P33" s="119"/>
    </x:row>
    <x:row r="34">
      <x:c r="A34" s="119"/>
      <x:c r="B34" s="119"/>
      <x:c r="C34" s="119"/>
      <x:c r="D34" s="119"/>
      <x:c r="E34" s="119"/>
      <x:c r="F34" s="119"/>
      <x:c r="G34" s="119"/>
      <x:c r="H34" s="119"/>
      <x:c r="I34" s="119"/>
      <x:c r="J34" s="119"/>
      <x:c r="K34" s="119"/>
      <x:c r="L34" s="119"/>
      <x:c r="M34" s="119"/>
      <x:c r="N34" s="119"/>
      <x:c r="O34" s="119"/>
      <x:c r="P34" s="119"/>
    </x:row>
    <x:row r="35">
      <x:c r="A35" s="119"/>
      <x:c r="B35" s="119"/>
      <x:c r="C35" s="119"/>
      <x:c r="D35" s="119"/>
      <x:c r="E35" s="119"/>
      <x:c r="F35" s="119"/>
      <x:c r="G35" s="119"/>
      <x:c r="H35" s="119"/>
      <x:c r="I35" s="119"/>
      <x:c r="J35" s="119"/>
      <x:c r="K35" s="119"/>
      <x:c r="L35" s="119"/>
      <x:c r="M35" s="119"/>
      <x:c r="N35" s="119"/>
      <x:c r="O35" s="119"/>
      <x:c r="P35" s="119"/>
    </x:row>
    <x:row r="36">
      <x:c r="A36" s="119"/>
      <x:c r="B36" s="119"/>
      <x:c r="C36" s="119"/>
      <x:c r="D36" s="119"/>
      <x:c r="E36" s="119"/>
      <x:c r="F36" s="119"/>
      <x:c r="G36" s="119"/>
      <x:c r="H36" s="119"/>
      <x:c r="I36" s="119"/>
      <x:c r="J36" s="119"/>
      <x:c r="K36" s="119"/>
      <x:c r="L36" s="119"/>
      <x:c r="M36" s="119"/>
      <x:c r="N36" s="119"/>
      <x:c r="O36" s="119"/>
      <x:c r="P36" s="119"/>
    </x:row>
    <x:row r="37">
      <x:c r="A37" s="119"/>
      <x:c r="B37" s="119"/>
      <x:c r="C37" s="119"/>
      <x:c r="D37" s="119"/>
      <x:c r="E37" s="119"/>
      <x:c r="F37" s="119"/>
      <x:c r="G37" s="119"/>
      <x:c r="H37" s="119"/>
      <x:c r="I37" s="119"/>
      <x:c r="J37" s="119"/>
      <x:c r="K37" s="119"/>
      <x:c r="L37" s="119"/>
      <x:c r="M37" s="119"/>
      <x:c r="N37" s="119"/>
      <x:c r="O37" s="119"/>
      <x:c r="P37" s="119"/>
    </x:row>
    <x:row r="38">
      <x:c r="A38" s="119"/>
      <x:c r="B38" s="119"/>
      <x:c r="C38" s="119"/>
      <x:c r="D38" s="119"/>
      <x:c r="E38" s="119"/>
      <x:c r="F38" s="119"/>
      <x:c r="G38" s="119"/>
      <x:c r="H38" s="119"/>
      <x:c r="I38" s="119"/>
      <x:c r="J38" s="119"/>
      <x:c r="K38" s="119"/>
      <x:c r="L38" s="119"/>
      <x:c r="M38" s="119"/>
      <x:c r="N38" s="119"/>
      <x:c r="O38" s="119"/>
      <x:c r="P38" s="119"/>
    </x:row>
    <x:row r="39">
      <x:c r="A39" s="119"/>
      <x:c r="B39" s="119"/>
      <x:c r="C39" s="119"/>
      <x:c r="D39" s="119"/>
      <x:c r="E39" s="119"/>
      <x:c r="F39" s="119"/>
      <x:c r="G39" s="119"/>
      <x:c r="H39" s="119"/>
      <x:c r="I39" s="119"/>
      <x:c r="J39" s="119"/>
      <x:c r="K39" s="119"/>
      <x:c r="L39" s="119"/>
      <x:c r="M39" s="119"/>
      <x:c r="N39" s="119"/>
      <x:c r="O39" s="119"/>
      <x:c r="P39" s="119"/>
    </x:row>
    <x:row r="40">
      <x:c r="A40" s="119"/>
      <x:c r="B40" s="119"/>
      <x:c r="C40" s="119"/>
      <x:c r="D40" s="119"/>
      <x:c r="E40" s="119"/>
      <x:c r="F40" s="119"/>
      <x:c r="G40" s="119"/>
      <x:c r="H40" s="119"/>
      <x:c r="I40" s="119"/>
      <x:c r="J40" s="119"/>
      <x:c r="K40" s="119"/>
      <x:c r="L40" s="119"/>
      <x:c r="M40" s="119"/>
      <x:c r="N40" s="119"/>
      <x:c r="O40" s="119"/>
      <x:c r="P40" s="119"/>
    </x:row>
    <x:row r="41">
      <x:c r="A41" s="119"/>
      <x:c r="B41" s="119"/>
      <x:c r="C41" s="119"/>
      <x:c r="D41" s="119"/>
      <x:c r="E41" s="119"/>
      <x:c r="F41" s="119"/>
      <x:c r="G41" s="119"/>
      <x:c r="H41" s="119"/>
      <x:c r="I41" s="119"/>
      <x:c r="J41" s="119"/>
      <x:c r="K41" s="119"/>
      <x:c r="L41" s="119"/>
      <x:c r="M41" s="119"/>
      <x:c r="N41" s="119"/>
      <x:c r="O41" s="119"/>
      <x:c r="P41" s="119"/>
    </x:row>
    <x:row r="42">
      <x:c r="A42" s="119"/>
      <x:c r="B42" s="119"/>
      <x:c r="C42" s="119"/>
      <x:c r="D42" s="119"/>
      <x:c r="E42" s="119"/>
      <x:c r="F42" s="119"/>
      <x:c r="G42" s="119"/>
      <x:c r="H42" s="119"/>
      <x:c r="I42" s="119"/>
      <x:c r="J42" s="119"/>
      <x:c r="K42" s="119"/>
      <x:c r="L42" s="119"/>
      <x:c r="M42" s="119"/>
      <x:c r="N42" s="119"/>
      <x:c r="O42" s="119"/>
      <x:c r="P42" s="119"/>
    </x:row>
    <x:row r="43">
      <x:c r="A43" s="119"/>
      <x:c r="B43" s="119"/>
      <x:c r="C43" s="119"/>
      <x:c r="D43" s="119"/>
      <x:c r="E43" s="119"/>
      <x:c r="F43" s="119"/>
      <x:c r="G43" s="119"/>
      <x:c r="H43" s="119"/>
      <x:c r="I43" s="119"/>
      <x:c r="J43" s="119"/>
      <x:c r="K43" s="119"/>
      <x:c r="L43" s="119"/>
      <x:c r="M43" s="119"/>
      <x:c r="N43" s="119"/>
      <x:c r="O43" s="119"/>
      <x:c r="P43" s="119"/>
    </x:row>
    <x:row r="44">
      <x:c r="A44" s="119"/>
      <x:c r="B44" s="119"/>
      <x:c r="C44" s="119"/>
      <x:c r="D44" s="119"/>
      <x:c r="E44" s="119"/>
      <x:c r="F44" s="119"/>
      <x:c r="G44" s="119"/>
      <x:c r="H44" s="119"/>
      <x:c r="I44" s="119"/>
      <x:c r="J44" s="119"/>
      <x:c r="K44" s="119"/>
      <x:c r="L44" s="119"/>
      <x:c r="M44" s="119"/>
      <x:c r="N44" s="119"/>
      <x:c r="O44" s="119"/>
      <x:c r="P44" s="119"/>
    </x:row>
    <x:row r="45">
      <x:c r="A45" s="119"/>
      <x:c r="B45" s="119"/>
      <x:c r="C45" s="119"/>
      <x:c r="D45" s="119"/>
      <x:c r="E45" s="119"/>
      <x:c r="F45" s="119"/>
      <x:c r="G45" s="119"/>
      <x:c r="H45" s="119"/>
      <x:c r="I45" s="119"/>
      <x:c r="J45" s="119"/>
      <x:c r="K45" s="119"/>
      <x:c r="L45" s="119"/>
      <x:c r="M45" s="119"/>
      <x:c r="N45" s="119"/>
      <x:c r="O45" s="119"/>
      <x:c r="P45" s="119"/>
    </x:row>
    <x:row r="46">
      <x:c r="A46" s="119"/>
      <x:c r="B46" s="119"/>
      <x:c r="C46" s="119"/>
      <x:c r="D46" s="119"/>
      <x:c r="E46" s="119"/>
      <x:c r="F46" s="119"/>
      <x:c r="G46" s="119"/>
      <x:c r="H46" s="119"/>
      <x:c r="I46" s="119"/>
      <x:c r="J46" s="119"/>
      <x:c r="K46" s="119"/>
      <x:c r="L46" s="119"/>
      <x:c r="M46" s="119"/>
      <x:c r="N46" s="119"/>
      <x:c r="O46" s="119"/>
      <x:c r="P46" s="119"/>
    </x:row>
    <x:row r="47">
      <x:c r="A47" s="119"/>
      <x:c r="B47" s="119"/>
      <x:c r="C47" s="119"/>
      <x:c r="D47" s="119"/>
      <x:c r="E47" s="119"/>
      <x:c r="F47" s="119"/>
      <x:c r="G47" s="119"/>
      <x:c r="H47" s="119"/>
      <x:c r="I47" s="119"/>
      <x:c r="J47" s="119"/>
      <x:c r="K47" s="119"/>
      <x:c r="L47" s="119"/>
      <x:c r="M47" s="119"/>
      <x:c r="N47" s="119"/>
      <x:c r="O47" s="119"/>
      <x:c r="P47" s="119"/>
    </x:row>
    <x:row r="48">
      <x:c r="A48" s="119"/>
      <x:c r="B48" s="119"/>
      <x:c r="C48" s="119"/>
      <x:c r="D48" s="119"/>
      <x:c r="E48" s="119"/>
      <x:c r="F48" s="119"/>
      <x:c r="G48" s="119"/>
      <x:c r="H48" s="119"/>
      <x:c r="I48" s="119"/>
      <x:c r="J48" s="119"/>
      <x:c r="K48" s="119"/>
      <x:c r="L48" s="119"/>
      <x:c r="M48" s="119"/>
      <x:c r="N48" s="119"/>
      <x:c r="O48" s="119"/>
      <x:c r="P48" s="119"/>
    </x:row>
    <x:row r="49">
      <x:c r="A49" s="119"/>
      <x:c r="B49" s="119"/>
      <x:c r="C49" s="119"/>
      <x:c r="D49" s="119"/>
      <x:c r="E49" s="119"/>
      <x:c r="F49" s="119"/>
      <x:c r="G49" s="119"/>
      <x:c r="H49" s="119"/>
      <x:c r="I49" s="119"/>
      <x:c r="J49" s="119"/>
      <x:c r="K49" s="119"/>
      <x:c r="L49" s="119"/>
      <x:c r="M49" s="119"/>
      <x:c r="N49" s="119"/>
      <x:c r="O49" s="119"/>
      <x:c r="P49" s="119"/>
    </x:row>
    <x:row r="50">
      <x:c r="A50" s="119"/>
      <x:c r="B50" s="119"/>
      <x:c r="C50" s="119"/>
      <x:c r="D50" s="119"/>
      <x:c r="E50" s="119"/>
      <x:c r="F50" s="119"/>
      <x:c r="G50" s="119"/>
      <x:c r="H50" s="119"/>
      <x:c r="I50" s="119"/>
      <x:c r="J50" s="119"/>
      <x:c r="K50" s="119"/>
      <x:c r="L50" s="119"/>
      <x:c r="M50" s="119"/>
      <x:c r="N50" s="119"/>
      <x:c r="O50" s="119"/>
      <x:c r="P50" s="119"/>
    </x:row>
    <x:row r="51">
      <x:c r="A51" s="119"/>
      <x:c r="B51" s="119"/>
      <x:c r="C51" s="119"/>
      <x:c r="D51" s="119"/>
      <x:c r="E51" s="119"/>
      <x:c r="F51" s="119"/>
      <x:c r="G51" s="119"/>
      <x:c r="H51" s="119"/>
      <x:c r="I51" s="119"/>
      <x:c r="J51" s="119"/>
      <x:c r="K51" s="119"/>
      <x:c r="L51" s="119"/>
      <x:c r="M51" s="119"/>
      <x:c r="N51" s="119"/>
      <x:c r="O51" s="119"/>
      <x:c r="P51" s="119"/>
    </x:row>
    <x:row r="52">
      <x:c r="A52" s="119"/>
      <x:c r="B52" s="119"/>
      <x:c r="C52" s="119"/>
      <x:c r="D52" s="119"/>
      <x:c r="E52" s="119"/>
      <x:c r="F52" s="119"/>
      <x:c r="G52" s="119"/>
      <x:c r="H52" s="119"/>
      <x:c r="I52" s="119"/>
      <x:c r="J52" s="119"/>
      <x:c r="K52" s="119"/>
      <x:c r="L52" s="119"/>
      <x:c r="M52" s="119"/>
      <x:c r="N52" s="119"/>
      <x:c r="O52" s="119"/>
      <x:c r="P52" s="119"/>
    </x:row>
    <x:row r="53">
      <x:c r="A53" s="119"/>
      <x:c r="B53" s="119"/>
      <x:c r="C53" s="119"/>
      <x:c r="D53" s="119"/>
      <x:c r="E53" s="119"/>
      <x:c r="F53" s="119"/>
      <x:c r="G53" s="119"/>
      <x:c r="H53" s="119"/>
      <x:c r="I53" s="119"/>
      <x:c r="J53" s="119"/>
      <x:c r="K53" s="119"/>
      <x:c r="L53" s="119"/>
      <x:c r="M53" s="119"/>
      <x:c r="N53" s="119"/>
      <x:c r="O53" s="119"/>
      <x:c r="P53" s="119"/>
    </x:row>
    <x:row r="54">
      <x:c r="A54" s="119"/>
      <x:c r="B54" s="119"/>
      <x:c r="C54" s="119"/>
      <x:c r="D54" s="119"/>
      <x:c r="E54" s="119"/>
      <x:c r="F54" s="119"/>
      <x:c r="G54" s="119"/>
      <x:c r="H54" s="119"/>
      <x:c r="I54" s="119"/>
      <x:c r="J54" s="119"/>
      <x:c r="K54" s="119"/>
      <x:c r="L54" s="119"/>
      <x:c r="M54" s="119"/>
      <x:c r="N54" s="119"/>
      <x:c r="O54" s="119"/>
      <x:c r="P54" s="119"/>
    </x:row>
    <x:row r="55">
      <x:c r="A55" s="119"/>
      <x:c r="B55" s="119"/>
      <x:c r="C55" s="119"/>
      <x:c r="D55" s="119"/>
      <x:c r="E55" s="119"/>
      <x:c r="F55" s="119"/>
      <x:c r="G55" s="119"/>
      <x:c r="H55" s="119"/>
      <x:c r="I55" s="119"/>
      <x:c r="J55" s="119"/>
      <x:c r="K55" s="119"/>
      <x:c r="L55" s="119"/>
      <x:c r="M55" s="119"/>
      <x:c r="N55" s="119"/>
      <x:c r="O55" s="119"/>
      <x:c r="P55" s="119"/>
    </x:row>
    <x:row r="56">
      <x:c r="A56" s="119"/>
      <x:c r="B56" s="119"/>
      <x:c r="C56" s="119"/>
      <x:c r="D56" s="119"/>
      <x:c r="E56" s="119"/>
      <x:c r="F56" s="119"/>
      <x:c r="G56" s="119"/>
      <x:c r="H56" s="119"/>
      <x:c r="I56" s="119"/>
      <x:c r="J56" s="119"/>
      <x:c r="K56" s="119"/>
      <x:c r="L56" s="119"/>
      <x:c r="M56" s="119"/>
      <x:c r="N56" s="119"/>
      <x:c r="O56" s="119"/>
      <x:c r="P56" s="119"/>
    </x:row>
    <x:row r="57">
      <x:c r="A57" s="119"/>
      <x:c r="B57" s="119"/>
      <x:c r="C57" s="119"/>
      <x:c r="D57" s="119"/>
      <x:c r="E57" s="119"/>
      <x:c r="F57" s="119"/>
      <x:c r="G57" s="119"/>
      <x:c r="H57" s="119"/>
      <x:c r="I57" s="119"/>
      <x:c r="J57" s="119"/>
      <x:c r="K57" s="119"/>
      <x:c r="L57" s="119"/>
      <x:c r="M57" s="119"/>
      <x:c r="N57" s="119"/>
      <x:c r="O57" s="119"/>
      <x:c r="P57" s="119"/>
    </x:row>
    <x:row r="58">
      <x:c r="A58" s="119"/>
      <x:c r="B58" s="119"/>
      <x:c r="C58" s="119"/>
      <x:c r="D58" s="119"/>
      <x:c r="E58" s="119"/>
      <x:c r="F58" s="119"/>
      <x:c r="G58" s="119"/>
      <x:c r="H58" s="119"/>
      <x:c r="I58" s="119"/>
      <x:c r="J58" s="119"/>
      <x:c r="K58" s="119"/>
      <x:c r="L58" s="119"/>
      <x:c r="M58" s="119"/>
      <x:c r="N58" s="119"/>
      <x:c r="O58" s="119"/>
      <x:c r="P58" s="119"/>
    </x:row>
    <x:row r="59">
      <x:c r="A59" s="119"/>
      <x:c r="B59" s="119"/>
      <x:c r="C59" s="119"/>
      <x:c r="D59" s="119"/>
      <x:c r="E59" s="119"/>
      <x:c r="F59" s="119"/>
      <x:c r="G59" s="119"/>
      <x:c r="H59" s="119"/>
      <x:c r="I59" s="119"/>
      <x:c r="J59" s="119"/>
      <x:c r="K59" s="119"/>
      <x:c r="L59" s="119"/>
      <x:c r="M59" s="119"/>
      <x:c r="N59" s="119"/>
      <x:c r="O59" s="119"/>
      <x:c r="P59" s="119"/>
    </x:row>
    <x:row r="60">
      <x:c r="A60" s="119"/>
      <x:c r="B60" s="119"/>
      <x:c r="C60" s="119"/>
      <x:c r="D60" s="119"/>
      <x:c r="E60" s="119"/>
      <x:c r="F60" s="119"/>
      <x:c r="G60" s="119"/>
      <x:c r="H60" s="119"/>
      <x:c r="I60" s="119"/>
      <x:c r="J60" s="119"/>
      <x:c r="K60" s="119"/>
      <x:c r="L60" s="119"/>
      <x:c r="M60" s="119"/>
      <x:c r="N60" s="119"/>
      <x:c r="O60" s="119"/>
      <x:c r="P60" s="119"/>
    </x:row>
    <x:row r="61">
      <x:c r="A61" s="119"/>
      <x:c r="B61" s="119"/>
      <x:c r="C61" s="119"/>
      <x:c r="D61" s="119"/>
      <x:c r="E61" s="119"/>
      <x:c r="F61" s="119"/>
      <x:c r="G61" s="119"/>
      <x:c r="H61" s="119"/>
      <x:c r="I61" s="119"/>
      <x:c r="J61" s="119"/>
      <x:c r="K61" s="119"/>
      <x:c r="L61" s="119"/>
      <x:c r="M61" s="119"/>
      <x:c r="N61" s="119"/>
      <x:c r="O61" s="119"/>
      <x:c r="P61" s="119"/>
    </x:row>
    <x:row r="62">
      <x:c r="A62" s="119"/>
      <x:c r="B62" s="119"/>
      <x:c r="C62" s="119"/>
      <x:c r="D62" s="119"/>
      <x:c r="E62" s="119"/>
      <x:c r="F62" s="119"/>
      <x:c r="G62" s="119"/>
      <x:c r="H62" s="119"/>
      <x:c r="I62" s="119"/>
      <x:c r="J62" s="119"/>
      <x:c r="K62" s="119"/>
      <x:c r="L62" s="119"/>
      <x:c r="M62" s="119"/>
      <x:c r="N62" s="119"/>
      <x:c r="O62" s="119"/>
      <x:c r="P62" s="119"/>
    </x:row>
    <x:row r="63">
      <x:c r="A63" s="119"/>
      <x:c r="B63" s="119"/>
      <x:c r="C63" s="119"/>
      <x:c r="D63" s="119"/>
      <x:c r="E63" s="119"/>
      <x:c r="F63" s="119"/>
      <x:c r="G63" s="119"/>
      <x:c r="H63" s="119"/>
      <x:c r="I63" s="119"/>
      <x:c r="J63" s="119"/>
      <x:c r="K63" s="119"/>
      <x:c r="L63" s="119"/>
      <x:c r="M63" s="119"/>
      <x:c r="N63" s="119"/>
      <x:c r="O63" s="119"/>
      <x:c r="P63" s="119"/>
    </x:row>
    <x:row r="64">
      <x:c r="A64" s="119"/>
      <x:c r="B64" s="119"/>
      <x:c r="C64" s="119"/>
      <x:c r="D64" s="119"/>
      <x:c r="E64" s="119"/>
      <x:c r="F64" s="119"/>
      <x:c r="G64" s="119"/>
      <x:c r="H64" s="119"/>
      <x:c r="I64" s="119"/>
      <x:c r="J64" s="119"/>
      <x:c r="K64" s="119"/>
      <x:c r="L64" s="119"/>
      <x:c r="M64" s="119"/>
      <x:c r="N64" s="119"/>
      <x:c r="O64" s="119"/>
      <x:c r="P64" s="119"/>
    </x:row>
    <x:row r="65">
      <x:c r="A65" s="119"/>
      <x:c r="B65" s="119"/>
      <x:c r="C65" s="119"/>
      <x:c r="D65" s="119"/>
      <x:c r="E65" s="119"/>
      <x:c r="F65" s="119"/>
      <x:c r="G65" s="119"/>
      <x:c r="H65" s="119"/>
      <x:c r="I65" s="119"/>
      <x:c r="J65" s="119"/>
      <x:c r="K65" s="119"/>
      <x:c r="L65" s="119"/>
      <x:c r="M65" s="119"/>
      <x:c r="N65" s="119"/>
      <x:c r="O65" s="119"/>
      <x:c r="P65" s="119"/>
    </x:row>
    <x:row r="66">
      <x:c r="A66" s="119"/>
      <x:c r="B66" s="119"/>
      <x:c r="C66" s="119"/>
      <x:c r="D66" s="119"/>
      <x:c r="E66" s="119"/>
      <x:c r="F66" s="119"/>
      <x:c r="G66" s="119"/>
      <x:c r="H66" s="119"/>
      <x:c r="I66" s="119"/>
      <x:c r="J66" s="119"/>
      <x:c r="K66" s="119"/>
      <x:c r="L66" s="119"/>
      <x:c r="M66" s="119"/>
      <x:c r="N66" s="119"/>
      <x:c r="O66" s="119"/>
      <x:c r="P66" s="119"/>
    </x:row>
    <x:row r="67">
      <x:c r="A67" s="119"/>
      <x:c r="B67" s="119"/>
      <x:c r="C67" s="119"/>
      <x:c r="D67" s="119"/>
      <x:c r="E67" s="119"/>
      <x:c r="F67" s="119"/>
      <x:c r="G67" s="119"/>
      <x:c r="H67" s="119"/>
      <x:c r="I67" s="119"/>
      <x:c r="J67" s="119"/>
      <x:c r="K67" s="119"/>
      <x:c r="L67" s="119"/>
      <x:c r="M67" s="119"/>
      <x:c r="N67" s="119"/>
      <x:c r="O67" s="119"/>
      <x:c r="P67" s="119"/>
    </x:row>
    <x:row r="68">
      <x:c r="A68" s="119"/>
      <x:c r="B68" s="119"/>
      <x:c r="C68" s="119"/>
      <x:c r="D68" s="119"/>
      <x:c r="E68" s="119"/>
      <x:c r="F68" s="119"/>
      <x:c r="G68" s="119"/>
      <x:c r="H68" s="119"/>
      <x:c r="I68" s="119"/>
      <x:c r="J68" s="119"/>
      <x:c r="K68" s="119"/>
      <x:c r="L68" s="119"/>
      <x:c r="M68" s="119"/>
      <x:c r="N68" s="119"/>
      <x:c r="O68" s="119"/>
      <x:c r="P68" s="119"/>
    </x:row>
    <x:row r="69">
      <x:c r="A69" s="119"/>
      <x:c r="B69" s="119"/>
      <x:c r="C69" s="119"/>
      <x:c r="D69" s="119"/>
      <x:c r="E69" s="119"/>
      <x:c r="F69" s="119"/>
      <x:c r="G69" s="119"/>
      <x:c r="H69" s="119"/>
      <x:c r="I69" s="119"/>
      <x:c r="J69" s="119"/>
      <x:c r="K69" s="119"/>
      <x:c r="L69" s="119"/>
      <x:c r="M69" s="119"/>
      <x:c r="N69" s="119"/>
      <x:c r="O69" s="119"/>
      <x:c r="P69" s="119"/>
    </x:row>
    <x:row r="70">
      <x:c r="A70" s="119"/>
      <x:c r="B70" s="119"/>
      <x:c r="C70" s="119"/>
      <x:c r="D70" s="119"/>
      <x:c r="E70" s="119"/>
      <x:c r="F70" s="119"/>
      <x:c r="G70" s="119"/>
      <x:c r="H70" s="119"/>
      <x:c r="I70" s="119"/>
      <x:c r="J70" s="119"/>
      <x:c r="K70" s="119"/>
      <x:c r="L70" s="119"/>
      <x:c r="M70" s="119"/>
      <x:c r="N70" s="119"/>
      <x:c r="O70" s="119"/>
      <x:c r="P70" s="119"/>
    </x:row>
    <x:row r="71">
      <x:c r="A71" s="119"/>
      <x:c r="B71" s="119"/>
      <x:c r="C71" s="119"/>
      <x:c r="D71" s="119"/>
      <x:c r="E71" s="119"/>
      <x:c r="F71" s="119"/>
      <x:c r="G71" s="119"/>
      <x:c r="H71" s="119"/>
      <x:c r="I71" s="119"/>
      <x:c r="J71" s="119"/>
      <x:c r="K71" s="119"/>
      <x:c r="L71" s="119"/>
      <x:c r="M71" s="119"/>
      <x:c r="N71" s="119"/>
      <x:c r="O71" s="119"/>
      <x:c r="P71" s="119"/>
    </x:row>
    <x:row r="72">
      <x:c r="A72" s="119"/>
      <x:c r="B72" s="119"/>
      <x:c r="C72" s="119"/>
      <x:c r="D72" s="119"/>
      <x:c r="E72" s="119"/>
      <x:c r="F72" s="119"/>
      <x:c r="G72" s="119"/>
      <x:c r="H72" s="119"/>
      <x:c r="I72" s="119"/>
      <x:c r="J72" s="119"/>
      <x:c r="K72" s="119"/>
      <x:c r="L72" s="119"/>
      <x:c r="M72" s="119"/>
      <x:c r="N72" s="119"/>
      <x:c r="O72" s="119"/>
      <x:c r="P72" s="119"/>
    </x:row>
    <x:row r="73">
      <x:c r="A73" s="119"/>
      <x:c r="B73" s="119"/>
      <x:c r="C73" s="119"/>
      <x:c r="D73" s="119"/>
      <x:c r="E73" s="119"/>
      <x:c r="F73" s="119"/>
      <x:c r="G73" s="119"/>
      <x:c r="H73" s="119"/>
      <x:c r="I73" s="119"/>
      <x:c r="J73" s="119"/>
      <x:c r="K73" s="119"/>
      <x:c r="L73" s="119"/>
      <x:c r="M73" s="119"/>
      <x:c r="N73" s="119"/>
      <x:c r="O73" s="119"/>
      <x:c r="P73" s="119"/>
    </x:row>
    <x:row r="74">
      <x:c r="A74" s="119"/>
      <x:c r="B74" s="119"/>
      <x:c r="C74" s="119"/>
      <x:c r="D74" s="119"/>
      <x:c r="E74" s="119"/>
      <x:c r="F74" s="119"/>
      <x:c r="G74" s="119"/>
      <x:c r="H74" s="119"/>
      <x:c r="I74" s="119"/>
      <x:c r="J74" s="119"/>
      <x:c r="K74" s="119"/>
      <x:c r="L74" s="119"/>
      <x:c r="M74" s="119"/>
      <x:c r="N74" s="119"/>
      <x:c r="O74" s="119"/>
      <x:c r="P74" s="119"/>
    </x:row>
    <x:row r="75">
      <x:c r="A75" s="119"/>
      <x:c r="B75" s="119"/>
      <x:c r="C75" s="119"/>
      <x:c r="D75" s="119"/>
      <x:c r="E75" s="119"/>
      <x:c r="F75" s="119"/>
      <x:c r="G75" s="119"/>
      <x:c r="H75" s="119"/>
      <x:c r="I75" s="119"/>
      <x:c r="J75" s="119"/>
      <x:c r="K75" s="119"/>
      <x:c r="L75" s="119"/>
      <x:c r="M75" s="119"/>
      <x:c r="N75" s="119"/>
      <x:c r="O75" s="119"/>
      <x:c r="P75" s="119"/>
    </x:row>
    <x:row r="76">
      <x:c r="A76" s="119"/>
      <x:c r="B76" s="119"/>
      <x:c r="C76" s="119"/>
      <x:c r="D76" s="119"/>
      <x:c r="E76" s="119"/>
      <x:c r="F76" s="119"/>
      <x:c r="G76" s="119"/>
      <x:c r="H76" s="119"/>
      <x:c r="I76" s="119"/>
      <x:c r="J76" s="119"/>
      <x:c r="K76" s="119"/>
      <x:c r="L76" s="119"/>
      <x:c r="M76" s="119"/>
      <x:c r="N76" s="119"/>
      <x:c r="O76" s="119"/>
      <x:c r="P76" s="119"/>
    </x:row>
    <x:row r="77">
      <x:c r="A77" s="119"/>
      <x:c r="B77" s="119"/>
      <x:c r="C77" s="119"/>
      <x:c r="D77" s="119"/>
      <x:c r="E77" s="119"/>
      <x:c r="F77" s="119"/>
      <x:c r="G77" s="119"/>
      <x:c r="H77" s="119"/>
      <x:c r="I77" s="119"/>
      <x:c r="J77" s="119"/>
      <x:c r="K77" s="119"/>
      <x:c r="L77" s="119"/>
      <x:c r="M77" s="119"/>
      <x:c r="N77" s="119"/>
      <x:c r="O77" s="119"/>
      <x:c r="P77" s="119"/>
    </x:row>
    <x:row r="78">
      <x:c r="A78" s="119"/>
      <x:c r="B78" s="119"/>
      <x:c r="C78" s="119"/>
      <x:c r="D78" s="119"/>
      <x:c r="E78" s="119"/>
      <x:c r="F78" s="119"/>
      <x:c r="G78" s="119"/>
      <x:c r="H78" s="119"/>
      <x:c r="I78" s="119"/>
      <x:c r="J78" s="119"/>
      <x:c r="K78" s="119"/>
      <x:c r="L78" s="119"/>
      <x:c r="M78" s="119"/>
      <x:c r="N78" s="119"/>
      <x:c r="O78" s="119"/>
      <x:c r="P78" s="119"/>
    </x:row>
    <x:row r="79">
      <x:c r="A79" s="119"/>
      <x:c r="B79" s="119"/>
      <x:c r="C79" s="119"/>
      <x:c r="D79" s="119"/>
      <x:c r="E79" s="119"/>
      <x:c r="F79" s="119"/>
      <x:c r="G79" s="119"/>
      <x:c r="H79" s="119"/>
      <x:c r="I79" s="119"/>
      <x:c r="J79" s="119"/>
      <x:c r="K79" s="119"/>
      <x:c r="L79" s="119"/>
      <x:c r="M79" s="119"/>
      <x:c r="N79" s="119"/>
      <x:c r="O79" s="119"/>
      <x:c r="P79" s="119"/>
    </x:row>
    <x:row r="80">
      <x:c r="A80" s="119"/>
      <x:c r="B80" s="119"/>
      <x:c r="C80" s="119"/>
      <x:c r="D80" s="119"/>
      <x:c r="E80" s="119"/>
      <x:c r="F80" s="119"/>
      <x:c r="G80" s="119"/>
      <x:c r="H80" s="119"/>
      <x:c r="I80" s="119"/>
      <x:c r="J80" s="119"/>
      <x:c r="K80" s="119"/>
      <x:c r="L80" s="119"/>
      <x:c r="M80" s="119"/>
      <x:c r="N80" s="119"/>
      <x:c r="O80" s="119"/>
      <x:c r="P80" s="119"/>
    </x:row>
    <x:row r="81">
      <x:c r="A81" s="119"/>
      <x:c r="B81" s="119"/>
      <x:c r="C81" s="119"/>
      <x:c r="D81" s="119"/>
      <x:c r="E81" s="119"/>
      <x:c r="F81" s="119"/>
      <x:c r="G81" s="119"/>
      <x:c r="H81" s="119"/>
      <x:c r="I81" s="119"/>
      <x:c r="J81" s="119"/>
      <x:c r="K81" s="119"/>
      <x:c r="L81" s="119"/>
      <x:c r="M81" s="119"/>
      <x:c r="N81" s="119"/>
      <x:c r="O81" s="119"/>
      <x:c r="P81" s="119"/>
    </x:row>
    <x:row r="82">
      <x:c r="A82" s="119"/>
      <x:c r="B82" s="119"/>
      <x:c r="C82" s="119"/>
      <x:c r="D82" s="119"/>
      <x:c r="E82" s="119"/>
      <x:c r="F82" s="119"/>
      <x:c r="G82" s="119"/>
      <x:c r="H82" s="119"/>
      <x:c r="I82" s="119"/>
      <x:c r="J82" s="119"/>
      <x:c r="K82" s="119"/>
      <x:c r="L82" s="119"/>
      <x:c r="M82" s="119"/>
      <x:c r="N82" s="119"/>
      <x:c r="O82" s="119"/>
      <x:c r="P82" s="119"/>
    </x:row>
    <x:row r="83">
      <x:c r="A83" s="119"/>
      <x:c r="B83" s="119"/>
      <x:c r="C83" s="119"/>
      <x:c r="D83" s="119"/>
      <x:c r="E83" s="119"/>
      <x:c r="F83" s="119"/>
      <x:c r="G83" s="119"/>
      <x:c r="H83" s="119"/>
      <x:c r="I83" s="119"/>
      <x:c r="J83" s="119"/>
      <x:c r="K83" s="119"/>
      <x:c r="L83" s="119"/>
      <x:c r="M83" s="119"/>
      <x:c r="N83" s="119"/>
      <x:c r="O83" s="119"/>
      <x:c r="P83" s="119"/>
    </x:row>
    <x:row r="84">
      <x:c r="A84" s="119"/>
      <x:c r="B84" s="119"/>
      <x:c r="C84" s="119"/>
      <x:c r="D84" s="119"/>
      <x:c r="E84" s="119"/>
      <x:c r="F84" s="119"/>
      <x:c r="G84" s="119"/>
      <x:c r="H84" s="119"/>
      <x:c r="I84" s="119"/>
      <x:c r="J84" s="119"/>
      <x:c r="K84" s="119"/>
      <x:c r="L84" s="119"/>
      <x:c r="M84" s="119"/>
      <x:c r="N84" s="119"/>
      <x:c r="O84" s="119"/>
      <x:c r="P84" s="119"/>
    </x:row>
    <x:row r="85">
      <x:c r="A85" s="119"/>
      <x:c r="B85" s="119"/>
      <x:c r="C85" s="119"/>
      <x:c r="D85" s="119"/>
      <x:c r="E85" s="119"/>
      <x:c r="F85" s="119"/>
      <x:c r="G85" s="119"/>
      <x:c r="H85" s="119"/>
      <x:c r="I85" s="119"/>
      <x:c r="J85" s="119"/>
      <x:c r="K85" s="119"/>
      <x:c r="L85" s="119"/>
      <x:c r="M85" s="119"/>
      <x:c r="N85" s="119"/>
      <x:c r="O85" s="119"/>
      <x:c r="P85" s="119"/>
    </x:row>
    <x:row r="86">
      <x:c r="A86" s="119"/>
      <x:c r="B86" s="119"/>
      <x:c r="C86" s="119"/>
      <x:c r="D86" s="119"/>
      <x:c r="E86" s="119"/>
      <x:c r="F86" s="119"/>
      <x:c r="G86" s="119"/>
      <x:c r="H86" s="119"/>
      <x:c r="I86" s="119"/>
      <x:c r="J86" s="119"/>
      <x:c r="K86" s="119"/>
      <x:c r="L86" s="119"/>
      <x:c r="M86" s="119"/>
      <x:c r="N86" s="119"/>
      <x:c r="O86" s="119"/>
      <x:c r="P86" s="119"/>
    </x:row>
    <x:row r="87">
      <x:c r="A87" s="119"/>
      <x:c r="B87" s="119"/>
      <x:c r="C87" s="119"/>
      <x:c r="D87" s="119"/>
      <x:c r="E87" s="119"/>
      <x:c r="F87" s="119"/>
      <x:c r="G87" s="119"/>
      <x:c r="H87" s="119"/>
      <x:c r="I87" s="119"/>
      <x:c r="J87" s="119"/>
      <x:c r="K87" s="119"/>
      <x:c r="L87" s="119"/>
      <x:c r="M87" s="119"/>
      <x:c r="N87" s="119"/>
      <x:c r="O87" s="119"/>
      <x:c r="P87" s="119"/>
    </x:row>
    <x:row r="88">
      <x:c r="A88" s="119"/>
      <x:c r="B88" s="119"/>
      <x:c r="C88" s="119"/>
      <x:c r="D88" s="119"/>
      <x:c r="E88" s="119"/>
      <x:c r="F88" s="119"/>
      <x:c r="G88" s="119"/>
      <x:c r="H88" s="119"/>
      <x:c r="I88" s="119"/>
      <x:c r="J88" s="119"/>
      <x:c r="K88" s="119"/>
      <x:c r="L88" s="119"/>
      <x:c r="M88" s="119"/>
      <x:c r="N88" s="119"/>
      <x:c r="O88" s="119"/>
      <x:c r="P88" s="119"/>
    </x:row>
    <x:row r="89">
      <x:c r="A89" s="119"/>
      <x:c r="B89" s="119"/>
      <x:c r="C89" s="119"/>
      <x:c r="D89" s="119"/>
      <x:c r="E89" s="119"/>
      <x:c r="F89" s="119"/>
      <x:c r="G89" s="119"/>
      <x:c r="H89" s="119"/>
      <x:c r="I89" s="119"/>
      <x:c r="J89" s="119"/>
      <x:c r="K89" s="119"/>
      <x:c r="L89" s="119"/>
      <x:c r="M89" s="119"/>
      <x:c r="N89" s="119"/>
      <x:c r="O89" s="119"/>
      <x:c r="P89" s="119"/>
    </x:row>
    <x:row r="90">
      <x:c r="A90" s="119"/>
      <x:c r="B90" s="119"/>
      <x:c r="C90" s="119"/>
      <x:c r="D90" s="119"/>
      <x:c r="E90" s="119"/>
      <x:c r="F90" s="119"/>
      <x:c r="G90" s="119"/>
      <x:c r="H90" s="119"/>
      <x:c r="I90" s="119"/>
      <x:c r="J90" s="119"/>
      <x:c r="K90" s="119"/>
      <x:c r="L90" s="119"/>
      <x:c r="M90" s="119"/>
      <x:c r="N90" s="119"/>
      <x:c r="O90" s="119"/>
      <x:c r="P90" s="119"/>
    </x:row>
    <x:row r="91">
      <x:c r="A91" s="119"/>
      <x:c r="B91" s="119"/>
      <x:c r="C91" s="119"/>
      <x:c r="D91" s="119"/>
      <x:c r="E91" s="119"/>
      <x:c r="F91" s="119"/>
      <x:c r="G91" s="119"/>
      <x:c r="H91" s="119"/>
      <x:c r="I91" s="119"/>
      <x:c r="J91" s="119"/>
      <x:c r="K91" s="119"/>
      <x:c r="L91" s="119"/>
      <x:c r="M91" s="119"/>
      <x:c r="N91" s="119"/>
      <x:c r="O91" s="119"/>
      <x:c r="P91" s="119"/>
    </x:row>
    <x:row r="92">
      <x:c r="A92" s="119"/>
      <x:c r="B92" s="119"/>
      <x:c r="C92" s="119"/>
      <x:c r="D92" s="119"/>
      <x:c r="E92" s="119"/>
      <x:c r="F92" s="119"/>
      <x:c r="G92" s="119"/>
      <x:c r="H92" s="119"/>
      <x:c r="I92" s="119"/>
      <x:c r="J92" s="119"/>
      <x:c r="K92" s="119"/>
      <x:c r="L92" s="119"/>
      <x:c r="M92" s="119"/>
      <x:c r="N92" s="119"/>
      <x:c r="O92" s="119"/>
      <x:c r="P92" s="119"/>
    </x:row>
    <x:row r="93">
      <x:c r="A93" s="119"/>
      <x:c r="B93" s="119"/>
      <x:c r="C93" s="119"/>
      <x:c r="D93" s="119"/>
      <x:c r="E93" s="119"/>
      <x:c r="F93" s="119"/>
      <x:c r="G93" s="119"/>
      <x:c r="H93" s="119"/>
      <x:c r="I93" s="119"/>
      <x:c r="J93" s="119"/>
      <x:c r="K93" s="119"/>
      <x:c r="L93" s="119"/>
      <x:c r="M93" s="119"/>
      <x:c r="N93" s="119"/>
      <x:c r="O93" s="119"/>
      <x:c r="P93" s="119"/>
    </x:row>
    <x:row r="94">
      <x:c r="A94" s="119"/>
      <x:c r="B94" s="119"/>
      <x:c r="C94" s="119"/>
      <x:c r="D94" s="119"/>
      <x:c r="E94" s="119"/>
      <x:c r="F94" s="119"/>
      <x:c r="G94" s="119"/>
      <x:c r="H94" s="119"/>
      <x:c r="I94" s="119"/>
      <x:c r="J94" s="119"/>
      <x:c r="K94" s="119"/>
      <x:c r="L94" s="119"/>
      <x:c r="M94" s="119"/>
      <x:c r="N94" s="119"/>
      <x:c r="O94" s="119"/>
      <x:c r="P94" s="119"/>
    </x:row>
    <x:row r="95">
      <x:c r="A95" s="119"/>
      <x:c r="B95" s="119"/>
      <x:c r="C95" s="119"/>
      <x:c r="D95" s="119"/>
      <x:c r="E95" s="119"/>
      <x:c r="F95" s="119"/>
      <x:c r="G95" s="119"/>
      <x:c r="H95" s="119"/>
      <x:c r="I95" s="119"/>
      <x:c r="J95" s="119"/>
      <x:c r="K95" s="119"/>
      <x:c r="L95" s="119"/>
      <x:c r="M95" s="119"/>
      <x:c r="N95" s="119"/>
      <x:c r="O95" s="119"/>
      <x:c r="P95" s="119"/>
    </x:row>
    <x:row r="96">
      <x:c r="A96" s="119"/>
      <x:c r="B96" s="119"/>
      <x:c r="C96" s="119"/>
      <x:c r="D96" s="119"/>
      <x:c r="E96" s="119"/>
      <x:c r="F96" s="119"/>
      <x:c r="G96" s="119"/>
      <x:c r="H96" s="119"/>
      <x:c r="I96" s="119"/>
      <x:c r="J96" s="119"/>
      <x:c r="K96" s="119"/>
      <x:c r="L96" s="119"/>
      <x:c r="M96" s="119"/>
      <x:c r="N96" s="119"/>
      <x:c r="O96" s="119"/>
      <x:c r="P96" s="119"/>
    </x:row>
    <x:row r="97">
      <x:c r="A97" s="119"/>
      <x:c r="B97" s="119"/>
      <x:c r="C97" s="119"/>
      <x:c r="D97" s="119"/>
      <x:c r="E97" s="119"/>
      <x:c r="F97" s="119"/>
      <x:c r="G97" s="119"/>
      <x:c r="H97" s="119"/>
      <x:c r="I97" s="119"/>
      <x:c r="J97" s="119"/>
      <x:c r="K97" s="119"/>
      <x:c r="L97" s="119"/>
      <x:c r="M97" s="119"/>
      <x:c r="N97" s="119"/>
      <x:c r="O97" s="119"/>
      <x:c r="P97" s="119"/>
    </x:row>
    <x:row r="98">
      <x:c r="A98" s="119"/>
      <x:c r="B98" s="119"/>
      <x:c r="C98" s="119"/>
      <x:c r="D98" s="119"/>
      <x:c r="E98" s="119"/>
      <x:c r="F98" s="119"/>
      <x:c r="G98" s="119"/>
      <x:c r="H98" s="119"/>
      <x:c r="I98" s="119"/>
      <x:c r="J98" s="119"/>
      <x:c r="K98" s="119"/>
      <x:c r="L98" s="119"/>
      <x:c r="M98" s="119"/>
      <x:c r="N98" s="119"/>
      <x:c r="O98" s="119"/>
      <x:c r="P98" s="119"/>
    </x:row>
    <x:row r="99">
      <x:c r="A99" s="119"/>
      <x:c r="B99" s="119"/>
      <x:c r="C99" s="119"/>
      <x:c r="D99" s="119"/>
      <x:c r="E99" s="119"/>
      <x:c r="F99" s="119"/>
      <x:c r="G99" s="119"/>
      <x:c r="H99" s="119"/>
      <x:c r="I99" s="119"/>
      <x:c r="J99" s="119"/>
      <x:c r="K99" s="119"/>
      <x:c r="L99" s="119"/>
      <x:c r="M99" s="119"/>
      <x:c r="N99" s="119"/>
      <x:c r="O99" s="119"/>
      <x:c r="P99" s="119"/>
    </x:row>
    <x:row r="100">
      <x:c r="A100" s="119"/>
      <x:c r="B100" s="119"/>
      <x:c r="C100" s="119"/>
      <x:c r="D100" s="119"/>
      <x:c r="E100" s="119"/>
      <x:c r="F100" s="119"/>
      <x:c r="G100" s="119"/>
      <x:c r="H100" s="119"/>
      <x:c r="I100" s="119"/>
      <x:c r="J100" s="119"/>
      <x:c r="K100" s="119"/>
      <x:c r="L100" s="119"/>
      <x:c r="M100" s="119"/>
      <x:c r="N100" s="119"/>
      <x:c r="O100" s="119"/>
      <x:c r="P100" s="119"/>
    </x:row>
    <x:row r="101">
      <x:c r="A101" s="119"/>
      <x:c r="B101" s="119"/>
      <x:c r="C101" s="119"/>
      <x:c r="D101" s="119"/>
      <x:c r="E101" s="119"/>
      <x:c r="F101" s="119"/>
      <x:c r="G101" s="119"/>
      <x:c r="H101" s="119"/>
      <x:c r="I101" s="119"/>
      <x:c r="J101" s="119"/>
      <x:c r="K101" s="119"/>
      <x:c r="L101" s="119"/>
      <x:c r="M101" s="119"/>
      <x:c r="N101" s="119"/>
      <x:c r="O101" s="119"/>
      <x:c r="P101" s="119"/>
    </x:row>
    <x:row r="102">
      <x:c r="A102" s="119"/>
      <x:c r="B102" s="119"/>
      <x:c r="C102" s="119"/>
      <x:c r="D102" s="119"/>
      <x:c r="E102" s="119"/>
      <x:c r="F102" s="119"/>
      <x:c r="G102" s="119"/>
      <x:c r="H102" s="119"/>
      <x:c r="I102" s="119"/>
      <x:c r="J102" s="119"/>
      <x:c r="K102" s="119"/>
      <x:c r="L102" s="119"/>
      <x:c r="M102" s="119"/>
      <x:c r="N102" s="119"/>
      <x:c r="O102" s="119"/>
      <x:c r="P102" s="119"/>
    </x:row>
    <x:row r="103">
      <x:c r="A103" s="119"/>
      <x:c r="B103" s="119"/>
      <x:c r="C103" s="119"/>
      <x:c r="D103" s="119"/>
      <x:c r="E103" s="119"/>
      <x:c r="F103" s="119"/>
      <x:c r="G103" s="119"/>
      <x:c r="H103" s="119"/>
      <x:c r="I103" s="119"/>
      <x:c r="J103" s="119"/>
      <x:c r="K103" s="119"/>
      <x:c r="L103" s="119"/>
      <x:c r="M103" s="119"/>
      <x:c r="N103" s="119"/>
      <x:c r="O103" s="119"/>
      <x:c r="P103" s="119"/>
    </x:row>
    <x:row r="104">
      <x:c r="A104" s="119"/>
      <x:c r="B104" s="119"/>
      <x:c r="C104" s="119"/>
      <x:c r="D104" s="119"/>
      <x:c r="E104" s="119"/>
      <x:c r="F104" s="119"/>
      <x:c r="G104" s="119"/>
      <x:c r="H104" s="119"/>
      <x:c r="I104" s="119"/>
      <x:c r="J104" s="119"/>
      <x:c r="K104" s="119"/>
      <x:c r="L104" s="119"/>
      <x:c r="M104" s="119"/>
      <x:c r="N104" s="119"/>
      <x:c r="O104" s="119"/>
      <x:c r="P104" s="119"/>
    </x:row>
    <x:row r="105">
      <x:c r="A105" s="119"/>
      <x:c r="B105" s="119"/>
      <x:c r="C105" s="119"/>
      <x:c r="D105" s="119"/>
      <x:c r="E105" s="119"/>
      <x:c r="F105" s="119"/>
      <x:c r="G105" s="119"/>
      <x:c r="H105" s="119"/>
      <x:c r="I105" s="119"/>
      <x:c r="J105" s="119"/>
      <x:c r="K105" s="119"/>
      <x:c r="L105" s="119"/>
      <x:c r="M105" s="119"/>
      <x:c r="N105" s="119"/>
      <x:c r="O105" s="119"/>
      <x:c r="P105" s="119"/>
    </x:row>
    <x:row r="106">
      <x:c r="A106" s="119"/>
      <x:c r="B106" s="119"/>
      <x:c r="C106" s="119"/>
      <x:c r="D106" s="119"/>
      <x:c r="E106" s="119"/>
      <x:c r="F106" s="119"/>
      <x:c r="G106" s="119"/>
      <x:c r="H106" s="119"/>
      <x:c r="I106" s="119"/>
      <x:c r="J106" s="119"/>
      <x:c r="K106" s="119"/>
      <x:c r="L106" s="119"/>
      <x:c r="M106" s="119"/>
      <x:c r="N106" s="119"/>
      <x:c r="O106" s="119"/>
      <x:c r="P106" s="119"/>
    </x:row>
    <x:row r="107">
      <x:c r="A107" s="119"/>
      <x:c r="B107" s="119"/>
      <x:c r="C107" s="119"/>
      <x:c r="D107" s="119"/>
      <x:c r="E107" s="119"/>
      <x:c r="F107" s="119"/>
      <x:c r="G107" s="119"/>
      <x:c r="H107" s="119"/>
      <x:c r="I107" s="119"/>
      <x:c r="J107" s="119"/>
      <x:c r="K107" s="119"/>
      <x:c r="L107" s="119"/>
      <x:c r="M107" s="119"/>
      <x:c r="N107" s="119"/>
      <x:c r="O107" s="119"/>
      <x:c r="P107" s="119"/>
    </x:row>
    <x:row r="108">
      <x:c r="A108" s="119"/>
      <x:c r="B108" s="119"/>
      <x:c r="C108" s="119"/>
      <x:c r="D108" s="119"/>
      <x:c r="E108" s="119"/>
      <x:c r="F108" s="119"/>
      <x:c r="G108" s="119"/>
      <x:c r="H108" s="119"/>
      <x:c r="I108" s="119"/>
      <x:c r="J108" s="119"/>
      <x:c r="K108" s="119"/>
      <x:c r="L108" s="119"/>
      <x:c r="M108" s="119"/>
      <x:c r="N108" s="119"/>
      <x:c r="O108" s="119"/>
      <x:c r="P108" s="119"/>
    </x:row>
    <x:row r="109">
      <x:c r="A109" s="119"/>
      <x:c r="B109" s="119"/>
      <x:c r="C109" s="119"/>
      <x:c r="D109" s="119"/>
      <x:c r="E109" s="119"/>
      <x:c r="F109" s="119"/>
      <x:c r="G109" s="119"/>
      <x:c r="H109" s="119"/>
      <x:c r="I109" s="119"/>
      <x:c r="J109" s="119"/>
      <x:c r="K109" s="119"/>
      <x:c r="L109" s="119"/>
      <x:c r="M109" s="119"/>
      <x:c r="N109" s="119"/>
      <x:c r="O109" s="119"/>
      <x:c r="P109" s="119"/>
    </x:row>
    <x:row r="110">
      <x:c r="A110" s="119"/>
      <x:c r="B110" s="119"/>
      <x:c r="C110" s="119"/>
      <x:c r="D110" s="119"/>
      <x:c r="E110" s="119"/>
      <x:c r="F110" s="119"/>
      <x:c r="G110" s="119"/>
      <x:c r="H110" s="119"/>
      <x:c r="I110" s="119"/>
      <x:c r="J110" s="119"/>
      <x:c r="K110" s="119"/>
      <x:c r="L110" s="119"/>
      <x:c r="M110" s="119"/>
      <x:c r="N110" s="119"/>
      <x:c r="O110" s="119"/>
      <x:c r="P110" s="119"/>
    </x:row>
    <x:row r="111">
      <x:c r="A111" s="119"/>
      <x:c r="B111" s="119"/>
      <x:c r="C111" s="119"/>
      <x:c r="D111" s="119"/>
      <x:c r="E111" s="119"/>
      <x:c r="F111" s="119"/>
      <x:c r="G111" s="119"/>
      <x:c r="H111" s="119"/>
      <x:c r="I111" s="119"/>
      <x:c r="J111" s="119"/>
      <x:c r="K111" s="119"/>
      <x:c r="L111" s="119"/>
      <x:c r="M111" s="119"/>
      <x:c r="N111" s="119"/>
      <x:c r="O111" s="119"/>
      <x:c r="P111" s="119"/>
    </x:row>
    <x:row r="112">
      <x:c r="A112" s="119"/>
      <x:c r="B112" s="119"/>
      <x:c r="C112" s="119"/>
      <x:c r="D112" s="119"/>
      <x:c r="E112" s="119"/>
      <x:c r="F112" s="119"/>
      <x:c r="G112" s="119"/>
      <x:c r="H112" s="119"/>
      <x:c r="I112" s="119"/>
      <x:c r="J112" s="119"/>
      <x:c r="K112" s="119"/>
      <x:c r="L112" s="119"/>
      <x:c r="M112" s="119"/>
      <x:c r="N112" s="119"/>
      <x:c r="O112" s="119"/>
      <x:c r="P112" s="119"/>
    </x:row>
    <x:row r="113">
      <x:c r="A113" s="119"/>
      <x:c r="B113" s="119"/>
      <x:c r="C113" s="119"/>
      <x:c r="D113" s="119"/>
      <x:c r="E113" s="119"/>
      <x:c r="F113" s="119"/>
      <x:c r="G113" s="119"/>
      <x:c r="H113" s="119"/>
      <x:c r="I113" s="119"/>
      <x:c r="J113" s="119"/>
      <x:c r="K113" s="119"/>
      <x:c r="L113" s="119"/>
      <x:c r="M113" s="119"/>
      <x:c r="N113" s="119"/>
      <x:c r="O113" s="119"/>
      <x:c r="P113" s="119"/>
    </x:row>
    <x:row r="114">
      <x:c r="A114" s="119"/>
      <x:c r="B114" s="119"/>
      <x:c r="C114" s="119"/>
      <x:c r="D114" s="119"/>
      <x:c r="E114" s="119"/>
      <x:c r="F114" s="119"/>
      <x:c r="G114" s="119"/>
      <x:c r="H114" s="119"/>
      <x:c r="I114" s="119"/>
      <x:c r="J114" s="119"/>
      <x:c r="K114" s="119"/>
      <x:c r="L114" s="119"/>
      <x:c r="M114" s="119"/>
      <x:c r="N114" s="119"/>
      <x:c r="O114" s="119"/>
      <x:c r="P114" s="119"/>
    </x:row>
    <x:row r="115">
      <x:c r="A115" s="119"/>
      <x:c r="B115" s="119"/>
      <x:c r="C115" s="119"/>
      <x:c r="D115" s="119"/>
      <x:c r="E115" s="119"/>
      <x:c r="F115" s="119"/>
      <x:c r="G115" s="119"/>
      <x:c r="H115" s="119"/>
      <x:c r="I115" s="119"/>
      <x:c r="J115" s="119"/>
      <x:c r="K115" s="119"/>
      <x:c r="L115" s="119"/>
      <x:c r="M115" s="119"/>
      <x:c r="N115" s="119"/>
      <x:c r="O115" s="119"/>
      <x:c r="P115" s="119"/>
    </x:row>
    <x:row r="116">
      <x:c r="A116" s="119"/>
      <x:c r="B116" s="119"/>
      <x:c r="C116" s="119"/>
      <x:c r="D116" s="119"/>
      <x:c r="E116" s="119"/>
      <x:c r="F116" s="119"/>
      <x:c r="G116" s="119"/>
      <x:c r="H116" s="119"/>
      <x:c r="I116" s="119"/>
      <x:c r="J116" s="119"/>
      <x:c r="K116" s="119"/>
      <x:c r="L116" s="119"/>
      <x:c r="M116" s="119"/>
      <x:c r="N116" s="119"/>
      <x:c r="O116" s="119"/>
      <x:c r="P116" s="119"/>
    </x:row>
    <x:row r="117">
      <x:c r="A117" s="119"/>
      <x:c r="B117" s="119"/>
      <x:c r="C117" s="119"/>
      <x:c r="D117" s="119"/>
      <x:c r="E117" s="119"/>
      <x:c r="F117" s="119"/>
      <x:c r="G117" s="119"/>
      <x:c r="H117" s="119"/>
      <x:c r="I117" s="119"/>
      <x:c r="J117" s="119"/>
      <x:c r="K117" s="119"/>
      <x:c r="L117" s="119"/>
      <x:c r="M117" s="119"/>
      <x:c r="N117" s="119"/>
      <x:c r="O117" s="119"/>
      <x:c r="P117" s="119"/>
    </x:row>
    <x:row r="118">
      <x:c r="A118" s="119"/>
      <x:c r="B118" s="119"/>
      <x:c r="C118" s="119"/>
      <x:c r="D118" s="119"/>
      <x:c r="E118" s="119"/>
      <x:c r="F118" s="119"/>
      <x:c r="G118" s="119"/>
      <x:c r="H118" s="119"/>
      <x:c r="I118" s="119"/>
      <x:c r="J118" s="119"/>
      <x:c r="K118" s="119"/>
      <x:c r="L118" s="119"/>
      <x:c r="M118" s="119"/>
      <x:c r="N118" s="119"/>
      <x:c r="O118" s="119"/>
      <x:c r="P118" s="119"/>
    </x:row>
    <x:row r="119">
      <x:c r="A119" s="119"/>
      <x:c r="B119" s="119"/>
      <x:c r="C119" s="119"/>
      <x:c r="D119" s="119"/>
      <x:c r="E119" s="119"/>
      <x:c r="F119" s="119"/>
      <x:c r="G119" s="119"/>
      <x:c r="H119" s="119"/>
      <x:c r="I119" s="119"/>
      <x:c r="J119" s="119"/>
      <x:c r="K119" s="119"/>
      <x:c r="L119" s="119"/>
      <x:c r="M119" s="119"/>
      <x:c r="N119" s="119"/>
      <x:c r="O119" s="119"/>
      <x:c r="P119" s="119"/>
    </x:row>
    <x:row r="120">
      <x:c r="A120" s="119"/>
      <x:c r="B120" s="119"/>
      <x:c r="C120" s="119"/>
      <x:c r="D120" s="119"/>
      <x:c r="E120" s="119"/>
      <x:c r="F120" s="119"/>
      <x:c r="G120" s="119"/>
      <x:c r="H120" s="119"/>
      <x:c r="I120" s="119"/>
      <x:c r="J120" s="119"/>
      <x:c r="K120" s="119"/>
      <x:c r="L120" s="119"/>
      <x:c r="M120" s="119"/>
      <x:c r="N120" s="119"/>
      <x:c r="O120" s="119"/>
      <x:c r="P120" s="119"/>
    </x:row>
    <x:row r="121">
      <x:c r="A121" s="119"/>
      <x:c r="B121" s="119"/>
      <x:c r="C121" s="119"/>
      <x:c r="D121" s="119"/>
      <x:c r="E121" s="119"/>
      <x:c r="F121" s="119"/>
      <x:c r="G121" s="119"/>
      <x:c r="H121" s="119"/>
      <x:c r="I121" s="119"/>
      <x:c r="J121" s="119"/>
      <x:c r="K121" s="119"/>
      <x:c r="L121" s="119"/>
      <x:c r="M121" s="119"/>
      <x:c r="N121" s="119"/>
      <x:c r="O121" s="119"/>
      <x:c r="P121" s="119"/>
    </x:row>
    <x:row r="122">
      <x:c r="A122" s="119"/>
      <x:c r="B122" s="119"/>
      <x:c r="C122" s="119"/>
      <x:c r="D122" s="119"/>
      <x:c r="E122" s="119"/>
      <x:c r="F122" s="119"/>
      <x:c r="G122" s="119"/>
      <x:c r="H122" s="119"/>
      <x:c r="I122" s="119"/>
      <x:c r="J122" s="119"/>
      <x:c r="K122" s="119"/>
      <x:c r="L122" s="119"/>
      <x:c r="M122" s="119"/>
      <x:c r="N122" s="119"/>
      <x:c r="O122" s="119"/>
      <x:c r="P122" s="119"/>
    </x:row>
    <x:row r="123">
      <x:c r="A123" s="119"/>
      <x:c r="B123" s="119"/>
      <x:c r="C123" s="119"/>
      <x:c r="D123" s="119"/>
      <x:c r="E123" s="119"/>
      <x:c r="F123" s="119"/>
      <x:c r="G123" s="119"/>
      <x:c r="H123" s="119"/>
      <x:c r="I123" s="119"/>
      <x:c r="J123" s="119"/>
      <x:c r="K123" s="119"/>
      <x:c r="L123" s="119"/>
      <x:c r="M123" s="119"/>
      <x:c r="N123" s="119"/>
      <x:c r="O123" s="119"/>
      <x:c r="P123" s="119"/>
    </x:row>
    <x:row r="124">
      <x:c r="A124" s="119"/>
      <x:c r="B124" s="119"/>
      <x:c r="C124" s="119"/>
      <x:c r="D124" s="119"/>
      <x:c r="E124" s="119"/>
      <x:c r="F124" s="119"/>
      <x:c r="G124" s="119"/>
      <x:c r="H124" s="119"/>
      <x:c r="I124" s="119"/>
      <x:c r="J124" s="119"/>
      <x:c r="K124" s="119"/>
      <x:c r="L124" s="119"/>
      <x:c r="M124" s="119"/>
      <x:c r="N124" s="119"/>
      <x:c r="O124" s="119"/>
      <x:c r="P124" s="119"/>
    </x:row>
    <x:row r="125">
      <x:c r="A125" s="119"/>
      <x:c r="B125" s="119"/>
      <x:c r="C125" s="119"/>
      <x:c r="D125" s="119"/>
      <x:c r="E125" s="119"/>
      <x:c r="F125" s="119"/>
      <x:c r="G125" s="119"/>
      <x:c r="H125" s="119"/>
      <x:c r="I125" s="119"/>
      <x:c r="J125" s="119"/>
      <x:c r="K125" s="119"/>
      <x:c r="L125" s="119"/>
      <x:c r="M125" s="119"/>
      <x:c r="N125" s="119"/>
      <x:c r="O125" s="119"/>
      <x:c r="P125" s="119"/>
    </x:row>
    <x:row r="126">
      <x:c r="A126" s="119"/>
      <x:c r="B126" s="119"/>
      <x:c r="C126" s="119"/>
      <x:c r="D126" s="119"/>
      <x:c r="E126" s="119"/>
      <x:c r="F126" s="119"/>
      <x:c r="G126" s="119"/>
      <x:c r="H126" s="119"/>
      <x:c r="I126" s="119"/>
      <x:c r="J126" s="119"/>
      <x:c r="K126" s="119"/>
      <x:c r="L126" s="119"/>
      <x:c r="M126" s="119"/>
      <x:c r="N126" s="119"/>
      <x:c r="O126" s="119"/>
      <x:c r="P126" s="119"/>
    </x:row>
    <x:row r="127">
      <x:c r="A127" s="119"/>
      <x:c r="B127" s="119"/>
      <x:c r="C127" s="119"/>
      <x:c r="D127" s="119"/>
      <x:c r="E127" s="119"/>
      <x:c r="F127" s="119"/>
      <x:c r="G127" s="119"/>
      <x:c r="H127" s="119"/>
      <x:c r="I127" s="119"/>
      <x:c r="J127" s="119"/>
      <x:c r="K127" s="119"/>
      <x:c r="L127" s="119"/>
      <x:c r="M127" s="119"/>
      <x:c r="N127" s="119"/>
      <x:c r="O127" s="119"/>
      <x:c r="P127" s="119"/>
    </x:row>
    <x:row r="128">
      <x:c r="A128" s="119"/>
      <x:c r="B128" s="119"/>
      <x:c r="C128" s="119"/>
      <x:c r="D128" s="119"/>
      <x:c r="E128" s="119"/>
      <x:c r="F128" s="119"/>
      <x:c r="G128" s="119"/>
      <x:c r="H128" s="119"/>
      <x:c r="I128" s="119"/>
      <x:c r="J128" s="119"/>
      <x:c r="K128" s="119"/>
      <x:c r="L128" s="119"/>
      <x:c r="M128" s="119"/>
      <x:c r="N128" s="119"/>
      <x:c r="O128" s="119"/>
      <x:c r="P128" s="119"/>
    </x:row>
    <x:row r="129">
      <x:c r="A129" s="119"/>
      <x:c r="B129" s="119"/>
      <x:c r="C129" s="119"/>
      <x:c r="D129" s="119"/>
      <x:c r="E129" s="119"/>
      <x:c r="F129" s="119"/>
      <x:c r="G129" s="119"/>
      <x:c r="H129" s="119"/>
      <x:c r="I129" s="119"/>
      <x:c r="J129" s="119"/>
      <x:c r="K129" s="119"/>
      <x:c r="L129" s="119"/>
      <x:c r="M129" s="119"/>
      <x:c r="N129" s="119"/>
      <x:c r="O129" s="119"/>
      <x:c r="P129" s="119"/>
    </x:row>
    <x:row r="130">
      <x:c r="A130" s="119"/>
      <x:c r="B130" s="119"/>
      <x:c r="C130" s="119"/>
      <x:c r="D130" s="119"/>
      <x:c r="E130" s="119"/>
      <x:c r="F130" s="119"/>
      <x:c r="G130" s="119"/>
      <x:c r="H130" s="119"/>
      <x:c r="I130" s="119"/>
      <x:c r="J130" s="119"/>
      <x:c r="K130" s="119"/>
      <x:c r="L130" s="119"/>
      <x:c r="M130" s="119"/>
      <x:c r="N130" s="119"/>
      <x:c r="O130" s="119"/>
      <x:c r="P130" s="119"/>
    </x:row>
    <x:row r="131">
      <x:c r="A131" s="119"/>
      <x:c r="B131" s="119"/>
      <x:c r="C131" s="119"/>
      <x:c r="D131" s="119"/>
      <x:c r="E131" s="119"/>
      <x:c r="F131" s="119"/>
      <x:c r="G131" s="119"/>
      <x:c r="H131" s="119"/>
      <x:c r="I131" s="119"/>
      <x:c r="J131" s="119"/>
      <x:c r="K131" s="119"/>
      <x:c r="L131" s="119"/>
      <x:c r="M131" s="119"/>
      <x:c r="N131" s="119"/>
      <x:c r="O131" s="119"/>
      <x:c r="P131" s="119"/>
    </x:row>
    <x:row r="132">
      <x:c r="A132" s="119"/>
      <x:c r="B132" s="119"/>
      <x:c r="C132" s="119"/>
      <x:c r="D132" s="119"/>
      <x:c r="E132" s="119"/>
      <x:c r="F132" s="119"/>
      <x:c r="G132" s="119"/>
      <x:c r="H132" s="119"/>
      <x:c r="I132" s="119"/>
      <x:c r="J132" s="119"/>
      <x:c r="K132" s="119"/>
      <x:c r="L132" s="119"/>
      <x:c r="M132" s="119"/>
      <x:c r="N132" s="119"/>
      <x:c r="O132" s="119"/>
      <x:c r="P132" s="119"/>
    </x:row>
    <x:row r="133">
      <x:c r="A133" s="119"/>
      <x:c r="B133" s="119"/>
      <x:c r="C133" s="119"/>
      <x:c r="D133" s="119"/>
      <x:c r="E133" s="119"/>
      <x:c r="F133" s="119"/>
      <x:c r="G133" s="119"/>
      <x:c r="H133" s="119"/>
      <x:c r="I133" s="119"/>
      <x:c r="J133" s="119"/>
      <x:c r="K133" s="119"/>
      <x:c r="L133" s="119"/>
      <x:c r="M133" s="119"/>
      <x:c r="N133" s="119"/>
      <x:c r="O133" s="119"/>
      <x:c r="P133" s="119"/>
    </x:row>
    <x:row r="134">
      <x:c r="A134" s="119"/>
      <x:c r="B134" s="119"/>
      <x:c r="C134" s="119"/>
      <x:c r="D134" s="119"/>
      <x:c r="E134" s="119"/>
      <x:c r="F134" s="119"/>
      <x:c r="G134" s="119"/>
      <x:c r="H134" s="119"/>
      <x:c r="I134" s="119"/>
      <x:c r="J134" s="119"/>
      <x:c r="K134" s="119"/>
      <x:c r="L134" s="119"/>
      <x:c r="M134" s="119"/>
      <x:c r="N134" s="119"/>
      <x:c r="O134" s="119"/>
      <x:c r="P134" s="119"/>
    </x:row>
    <x:row r="135">
      <x:c r="A135" s="119"/>
      <x:c r="B135" s="119"/>
      <x:c r="C135" s="119"/>
      <x:c r="D135" s="119"/>
      <x:c r="E135" s="119"/>
      <x:c r="F135" s="119"/>
      <x:c r="G135" s="119"/>
      <x:c r="H135" s="119"/>
      <x:c r="I135" s="119"/>
      <x:c r="J135" s="119"/>
      <x:c r="K135" s="119"/>
      <x:c r="L135" s="119"/>
      <x:c r="M135" s="119"/>
      <x:c r="N135" s="119"/>
      <x:c r="O135" s="119"/>
      <x:c r="P135" s="119"/>
    </x:row>
    <x:row r="136">
      <x:c r="A136" s="119"/>
      <x:c r="B136" s="119"/>
      <x:c r="C136" s="119"/>
      <x:c r="D136" s="119"/>
      <x:c r="E136" s="119"/>
      <x:c r="F136" s="119"/>
      <x:c r="G136" s="119"/>
      <x:c r="H136" s="119"/>
      <x:c r="I136" s="119"/>
      <x:c r="J136" s="119"/>
      <x:c r="K136" s="119"/>
      <x:c r="L136" s="119"/>
      <x:c r="M136" s="119"/>
      <x:c r="N136" s="119"/>
      <x:c r="O136" s="119"/>
      <x:c r="P136" s="119"/>
    </x:row>
    <x:row r="137">
      <x:c r="A137" s="119"/>
      <x:c r="B137" s="119"/>
      <x:c r="C137" s="119"/>
      <x:c r="D137" s="119"/>
      <x:c r="E137" s="119"/>
      <x:c r="F137" s="119"/>
      <x:c r="G137" s="119"/>
      <x:c r="H137" s="119"/>
      <x:c r="I137" s="119"/>
      <x:c r="J137" s="119"/>
      <x:c r="K137" s="119"/>
      <x:c r="L137" s="119"/>
      <x:c r="M137" s="119"/>
      <x:c r="N137" s="119"/>
      <x:c r="O137" s="119"/>
      <x:c r="P137" s="119"/>
    </x:row>
    <x:row r="138">
      <x:c r="A138" s="119"/>
      <x:c r="B138" s="119"/>
      <x:c r="C138" s="119"/>
      <x:c r="D138" s="119"/>
      <x:c r="E138" s="119"/>
      <x:c r="F138" s="119"/>
      <x:c r="G138" s="119"/>
      <x:c r="H138" s="119"/>
      <x:c r="I138" s="119"/>
      <x:c r="J138" s="119"/>
      <x:c r="K138" s="119"/>
      <x:c r="L138" s="119"/>
      <x:c r="M138" s="119"/>
      <x:c r="N138" s="119"/>
      <x:c r="O138" s="119"/>
      <x:c r="P138" s="119"/>
    </x:row>
    <x:row r="139">
      <x:c r="A139" s="119"/>
      <x:c r="B139" s="119"/>
      <x:c r="C139" s="119"/>
      <x:c r="D139" s="119"/>
      <x:c r="E139" s="119"/>
      <x:c r="F139" s="119"/>
      <x:c r="G139" s="119"/>
      <x:c r="H139" s="119"/>
      <x:c r="I139" s="119"/>
      <x:c r="J139" s="119"/>
      <x:c r="K139" s="119"/>
      <x:c r="L139" s="119"/>
      <x:c r="M139" s="119"/>
      <x:c r="N139" s="119"/>
      <x:c r="O139" s="119"/>
      <x:c r="P139" s="119"/>
    </x:row>
    <x:row r="140">
      <x:c r="A140" s="119"/>
      <x:c r="B140" s="119"/>
      <x:c r="C140" s="119"/>
      <x:c r="D140" s="119"/>
      <x:c r="E140" s="119"/>
      <x:c r="F140" s="119"/>
      <x:c r="G140" s="119"/>
      <x:c r="H140" s="119"/>
      <x:c r="I140" s="119"/>
      <x:c r="J140" s="119"/>
      <x:c r="K140" s="119"/>
      <x:c r="L140" s="119"/>
      <x:c r="M140" s="119"/>
      <x:c r="N140" s="119"/>
      <x:c r="O140" s="119"/>
      <x:c r="P140" s="119"/>
    </x:row>
    <x:row r="141">
      <x:c r="A141" s="119"/>
      <x:c r="B141" s="119"/>
      <x:c r="C141" s="119"/>
      <x:c r="D141" s="119"/>
      <x:c r="E141" s="119"/>
      <x:c r="F141" s="119"/>
      <x:c r="G141" s="119"/>
      <x:c r="H141" s="119"/>
      <x:c r="I141" s="119"/>
      <x:c r="J141" s="119"/>
      <x:c r="K141" s="119"/>
      <x:c r="L141" s="119"/>
      <x:c r="M141" s="119"/>
      <x:c r="N141" s="119"/>
      <x:c r="O141" s="119"/>
      <x:c r="P141" s="119"/>
    </x:row>
    <x:row r="142">
      <x:c r="A142" s="119"/>
      <x:c r="B142" s="119"/>
      <x:c r="C142" s="119"/>
      <x:c r="D142" s="119"/>
      <x:c r="E142" s="119"/>
      <x:c r="F142" s="119"/>
      <x:c r="G142" s="119"/>
      <x:c r="H142" s="119"/>
      <x:c r="I142" s="119"/>
      <x:c r="J142" s="119"/>
      <x:c r="K142" s="119"/>
      <x:c r="L142" s="119"/>
      <x:c r="M142" s="119"/>
      <x:c r="N142" s="119"/>
      <x:c r="O142" s="119"/>
      <x:c r="P142" s="119"/>
    </x:row>
    <x:row r="143">
      <x:c r="A143" s="119"/>
      <x:c r="B143" s="119"/>
      <x:c r="C143" s="119"/>
      <x:c r="D143" s="119"/>
      <x:c r="E143" s="119"/>
      <x:c r="F143" s="119"/>
      <x:c r="G143" s="119"/>
      <x:c r="H143" s="119"/>
      <x:c r="I143" s="119"/>
      <x:c r="J143" s="119"/>
      <x:c r="K143" s="119"/>
      <x:c r="L143" s="119"/>
      <x:c r="M143" s="119"/>
      <x:c r="N143" s="119"/>
      <x:c r="O143" s="119"/>
      <x:c r="P143" s="119"/>
    </x:row>
    <x:row r="144">
      <x:c r="A144" s="119"/>
      <x:c r="B144" s="119"/>
      <x:c r="C144" s="119"/>
      <x:c r="D144" s="119"/>
      <x:c r="E144" s="119"/>
      <x:c r="F144" s="119"/>
      <x:c r="G144" s="119"/>
      <x:c r="H144" s="119"/>
      <x:c r="I144" s="119"/>
      <x:c r="J144" s="119"/>
      <x:c r="K144" s="119"/>
      <x:c r="L144" s="119"/>
      <x:c r="M144" s="119"/>
      <x:c r="N144" s="119"/>
      <x:c r="O144" s="119"/>
      <x:c r="P144" s="119"/>
    </x:row>
    <x:row r="145">
      <x:c r="A145" s="119"/>
      <x:c r="B145" s="119"/>
      <x:c r="C145" s="119"/>
      <x:c r="D145" s="119"/>
      <x:c r="E145" s="119"/>
      <x:c r="F145" s="119"/>
      <x:c r="G145" s="119"/>
      <x:c r="H145" s="119"/>
      <x:c r="I145" s="119"/>
      <x:c r="J145" s="119"/>
      <x:c r="K145" s="119"/>
      <x:c r="L145" s="119"/>
      <x:c r="M145" s="119"/>
      <x:c r="N145" s="119"/>
      <x:c r="O145" s="119"/>
      <x:c r="P145" s="119"/>
    </x:row>
    <x:row r="146">
      <x:c r="A146" s="119"/>
      <x:c r="B146" s="119"/>
      <x:c r="C146" s="119"/>
      <x:c r="D146" s="119"/>
      <x:c r="E146" s="119"/>
      <x:c r="F146" s="119"/>
      <x:c r="G146" s="119"/>
      <x:c r="H146" s="119"/>
      <x:c r="I146" s="119"/>
      <x:c r="J146" s="119"/>
      <x:c r="K146" s="119"/>
      <x:c r="L146" s="119"/>
      <x:c r="M146" s="119"/>
      <x:c r="N146" s="119"/>
      <x:c r="O146" s="119"/>
      <x:c r="P146" s="119"/>
    </x:row>
    <x:row r="147">
      <x:c r="A147" s="119"/>
      <x:c r="B147" s="119"/>
      <x:c r="C147" s="119"/>
      <x:c r="D147" s="119"/>
      <x:c r="E147" s="119"/>
      <x:c r="F147" s="119"/>
      <x:c r="G147" s="119"/>
      <x:c r="H147" s="119"/>
      <x:c r="I147" s="119"/>
      <x:c r="J147" s="119"/>
      <x:c r="K147" s="119"/>
      <x:c r="L147" s="119"/>
      <x:c r="M147" s="119"/>
      <x:c r="N147" s="119"/>
      <x:c r="O147" s="119"/>
      <x:c r="P147" s="119"/>
    </x:row>
    <x:row r="148">
      <x:c r="A148" s="119"/>
      <x:c r="B148" s="119"/>
      <x:c r="C148" s="119"/>
      <x:c r="D148" s="119"/>
      <x:c r="E148" s="119"/>
      <x:c r="F148" s="119"/>
      <x:c r="G148" s="119"/>
      <x:c r="H148" s="119"/>
      <x:c r="I148" s="119"/>
      <x:c r="J148" s="119"/>
      <x:c r="K148" s="119"/>
      <x:c r="L148" s="119"/>
      <x:c r="M148" s="119"/>
      <x:c r="N148" s="119"/>
      <x:c r="O148" s="119"/>
      <x:c r="P148" s="119"/>
    </x:row>
    <x:row r="149">
      <x:c r="A149" s="119"/>
      <x:c r="B149" s="119"/>
      <x:c r="C149" s="119"/>
      <x:c r="D149" s="119"/>
      <x:c r="E149" s="119"/>
      <x:c r="F149" s="119"/>
      <x:c r="G149" s="119"/>
      <x:c r="H149" s="119"/>
      <x:c r="I149" s="119"/>
      <x:c r="J149" s="119"/>
      <x:c r="K149" s="119"/>
      <x:c r="L149" s="119"/>
      <x:c r="M149" s="119"/>
      <x:c r="N149" s="119"/>
      <x:c r="O149" s="119"/>
      <x:c r="P149" s="119"/>
    </x:row>
    <x:row r="150">
      <x:c r="A150" s="119"/>
      <x:c r="B150" s="119"/>
      <x:c r="C150" s="119"/>
      <x:c r="D150" s="119"/>
      <x:c r="E150" s="119"/>
      <x:c r="F150" s="119"/>
      <x:c r="G150" s="119"/>
      <x:c r="H150" s="119"/>
      <x:c r="I150" s="119"/>
      <x:c r="J150" s="119"/>
      <x:c r="K150" s="119"/>
      <x:c r="L150" s="119"/>
      <x:c r="M150" s="119"/>
      <x:c r="N150" s="119"/>
      <x:c r="O150" s="119"/>
      <x:c r="P150" s="119"/>
    </x:row>
    <x:row r="151">
      <x:c r="A151" s="119"/>
      <x:c r="B151" s="119"/>
      <x:c r="C151" s="119"/>
      <x:c r="D151" s="119"/>
      <x:c r="E151" s="119"/>
      <x:c r="F151" s="119"/>
      <x:c r="G151" s="119"/>
      <x:c r="H151" s="119"/>
      <x:c r="I151" s="119"/>
      <x:c r="J151" s="119"/>
      <x:c r="K151" s="119"/>
      <x:c r="L151" s="119"/>
      <x:c r="M151" s="119"/>
      <x:c r="N151" s="119"/>
      <x:c r="O151" s="119"/>
      <x:c r="P151" s="119"/>
    </x:row>
    <x:row r="152">
      <x:c r="A152" s="119"/>
      <x:c r="B152" s="119"/>
      <x:c r="C152" s="119"/>
      <x:c r="D152" s="119"/>
      <x:c r="E152" s="119"/>
      <x:c r="F152" s="119"/>
      <x:c r="G152" s="119"/>
      <x:c r="H152" s="119"/>
      <x:c r="I152" s="119"/>
      <x:c r="J152" s="119"/>
      <x:c r="K152" s="119"/>
      <x:c r="L152" s="119"/>
      <x:c r="M152" s="119"/>
      <x:c r="N152" s="119"/>
      <x:c r="O152" s="119"/>
      <x:c r="P152" s="119"/>
    </x:row>
    <x:row r="153">
      <x:c r="A153" s="119"/>
      <x:c r="B153" s="119"/>
      <x:c r="C153" s="119"/>
      <x:c r="D153" s="119"/>
      <x:c r="E153" s="119"/>
      <x:c r="F153" s="119"/>
      <x:c r="G153" s="119"/>
      <x:c r="H153" s="119"/>
      <x:c r="I153" s="119"/>
      <x:c r="J153" s="119"/>
      <x:c r="K153" s="119"/>
      <x:c r="L153" s="119"/>
      <x:c r="M153" s="119"/>
      <x:c r="N153" s="119"/>
      <x:c r="O153" s="119"/>
      <x:c r="P153" s="119"/>
    </x:row>
    <x:row r="154">
      <x:c r="A154" s="119"/>
      <x:c r="B154" s="119"/>
      <x:c r="C154" s="119"/>
      <x:c r="D154" s="119"/>
      <x:c r="E154" s="119"/>
      <x:c r="F154" s="119"/>
      <x:c r="G154" s="119"/>
      <x:c r="H154" s="119"/>
      <x:c r="I154" s="119"/>
      <x:c r="J154" s="119"/>
      <x:c r="K154" s="119"/>
      <x:c r="L154" s="119"/>
      <x:c r="M154" s="119"/>
      <x:c r="N154" s="119"/>
      <x:c r="O154" s="119"/>
      <x:c r="P154" s="119"/>
    </x:row>
    <x:row r="155">
      <x:c r="A155" s="119"/>
      <x:c r="B155" s="119"/>
      <x:c r="C155" s="119"/>
      <x:c r="D155" s="119"/>
      <x:c r="E155" s="119"/>
      <x:c r="F155" s="119"/>
      <x:c r="G155" s="119"/>
      <x:c r="H155" s="119"/>
      <x:c r="I155" s="119"/>
      <x:c r="J155" s="119"/>
      <x:c r="K155" s="119"/>
      <x:c r="L155" s="119"/>
      <x:c r="M155" s="119"/>
      <x:c r="N155" s="119"/>
      <x:c r="O155" s="119"/>
      <x:c r="P155" s="119"/>
    </x:row>
    <x:row r="156">
      <x:c r="A156" s="119"/>
      <x:c r="B156" s="119"/>
      <x:c r="C156" s="119"/>
      <x:c r="D156" s="119"/>
      <x:c r="E156" s="119"/>
      <x:c r="F156" s="119"/>
      <x:c r="G156" s="119"/>
      <x:c r="H156" s="119"/>
      <x:c r="I156" s="119"/>
      <x:c r="J156" s="119"/>
      <x:c r="K156" s="119"/>
      <x:c r="L156" s="119"/>
      <x:c r="M156" s="119"/>
      <x:c r="N156" s="119"/>
      <x:c r="O156" s="119"/>
      <x:c r="P156" s="119"/>
    </x:row>
    <x:row r="157">
      <x:c r="A157" s="119"/>
      <x:c r="B157" s="119"/>
      <x:c r="C157" s="119"/>
      <x:c r="D157" s="119"/>
      <x:c r="E157" s="119"/>
      <x:c r="F157" s="119"/>
      <x:c r="G157" s="119"/>
      <x:c r="H157" s="119"/>
      <x:c r="I157" s="119"/>
      <x:c r="J157" s="119"/>
      <x:c r="K157" s="119"/>
      <x:c r="L157" s="119"/>
      <x:c r="M157" s="119"/>
      <x:c r="N157" s="119"/>
      <x:c r="O157" s="119"/>
      <x:c r="P157" s="119"/>
    </x:row>
    <x:row r="158">
      <x:c r="A158" s="119"/>
      <x:c r="B158" s="119"/>
      <x:c r="C158" s="119"/>
      <x:c r="D158" s="119"/>
      <x:c r="E158" s="119"/>
      <x:c r="F158" s="119"/>
      <x:c r="G158" s="119"/>
      <x:c r="H158" s="119"/>
      <x:c r="I158" s="119"/>
      <x:c r="J158" s="119"/>
      <x:c r="K158" s="119"/>
      <x:c r="L158" s="119"/>
      <x:c r="M158" s="119"/>
      <x:c r="N158" s="119"/>
      <x:c r="O158" s="119"/>
      <x:c r="P158" s="119"/>
    </x:row>
    <x:row r="159">
      <x:c r="A159" s="119"/>
      <x:c r="B159" s="119"/>
      <x:c r="C159" s="119"/>
      <x:c r="D159" s="119"/>
      <x:c r="E159" s="119"/>
      <x:c r="F159" s="119"/>
      <x:c r="G159" s="119"/>
      <x:c r="H159" s="119"/>
      <x:c r="I159" s="119"/>
      <x:c r="J159" s="119"/>
      <x:c r="K159" s="119"/>
      <x:c r="L159" s="119"/>
      <x:c r="M159" s="119"/>
      <x:c r="N159" s="119"/>
      <x:c r="O159" s="119"/>
      <x:c r="P159" s="119"/>
    </x:row>
    <x:row r="160">
      <x:c r="A160" s="119"/>
      <x:c r="B160" s="119"/>
      <x:c r="C160" s="119"/>
      <x:c r="D160" s="119"/>
      <x:c r="E160" s="119"/>
      <x:c r="F160" s="119"/>
      <x:c r="G160" s="119"/>
      <x:c r="H160" s="119"/>
      <x:c r="I160" s="119"/>
      <x:c r="J160" s="119"/>
      <x:c r="K160" s="119"/>
      <x:c r="L160" s="119"/>
      <x:c r="M160" s="119"/>
      <x:c r="N160" s="119"/>
      <x:c r="O160" s="119"/>
      <x:c r="P160" s="119"/>
    </x:row>
    <x:row r="161">
      <x:c r="A161" s="119"/>
      <x:c r="B161" s="119"/>
      <x:c r="C161" s="119"/>
      <x:c r="D161" s="119"/>
      <x:c r="E161" s="119"/>
      <x:c r="F161" s="119"/>
      <x:c r="G161" s="119"/>
      <x:c r="H161" s="119"/>
      <x:c r="I161" s="119"/>
      <x:c r="J161" s="119"/>
      <x:c r="K161" s="119"/>
      <x:c r="L161" s="119"/>
      <x:c r="M161" s="119"/>
      <x:c r="N161" s="119"/>
      <x:c r="O161" s="119"/>
      <x:c r="P161" s="119"/>
    </x:row>
    <x:row r="162">
      <x:c r="A162" s="119"/>
      <x:c r="B162" s="119"/>
      <x:c r="C162" s="119"/>
      <x:c r="D162" s="119"/>
      <x:c r="E162" s="119"/>
      <x:c r="F162" s="119"/>
      <x:c r="G162" s="119"/>
      <x:c r="H162" s="119"/>
      <x:c r="I162" s="119"/>
      <x:c r="J162" s="119"/>
      <x:c r="K162" s="119"/>
      <x:c r="L162" s="119"/>
      <x:c r="M162" s="119"/>
      <x:c r="N162" s="119"/>
      <x:c r="O162" s="119"/>
      <x:c r="P162" s="119"/>
    </x:row>
    <x:row r="163">
      <x:c r="A163" s="119"/>
      <x:c r="B163" s="119"/>
      <x:c r="C163" s="119"/>
      <x:c r="D163" s="119"/>
      <x:c r="E163" s="119"/>
      <x:c r="F163" s="119"/>
      <x:c r="G163" s="119"/>
      <x:c r="H163" s="119"/>
      <x:c r="I163" s="119"/>
      <x:c r="J163" s="119"/>
      <x:c r="K163" s="119"/>
      <x:c r="L163" s="119"/>
      <x:c r="M163" s="119"/>
      <x:c r="N163" s="119"/>
      <x:c r="O163" s="119"/>
      <x:c r="P163" s="119"/>
    </x:row>
    <x:row r="164">
      <x:c r="A164" s="119"/>
      <x:c r="B164" s="119"/>
      <x:c r="C164" s="119"/>
      <x:c r="D164" s="119"/>
      <x:c r="E164" s="119"/>
      <x:c r="F164" s="119"/>
      <x:c r="G164" s="119"/>
      <x:c r="H164" s="119"/>
      <x:c r="I164" s="119"/>
      <x:c r="J164" s="119"/>
      <x:c r="K164" s="119"/>
      <x:c r="L164" s="119"/>
      <x:c r="M164" s="119"/>
      <x:c r="N164" s="119"/>
      <x:c r="O164" s="119"/>
      <x:c r="P164" s="119"/>
    </x:row>
    <x:row r="165">
      <x:c r="A165" s="119"/>
      <x:c r="B165" s="119"/>
      <x:c r="C165" s="119"/>
      <x:c r="D165" s="119"/>
      <x:c r="E165" s="119"/>
      <x:c r="F165" s="119"/>
      <x:c r="G165" s="119"/>
      <x:c r="H165" s="119"/>
      <x:c r="I165" s="119"/>
      <x:c r="J165" s="119"/>
      <x:c r="K165" s="119"/>
      <x:c r="L165" s="119"/>
      <x:c r="M165" s="119"/>
      <x:c r="N165" s="119"/>
      <x:c r="O165" s="119"/>
      <x:c r="P165" s="119"/>
    </x:row>
    <x:row r="166">
      <x:c r="A166" s="119"/>
      <x:c r="B166" s="119"/>
      <x:c r="C166" s="119"/>
      <x:c r="D166" s="119"/>
      <x:c r="E166" s="119"/>
      <x:c r="F166" s="119"/>
      <x:c r="G166" s="119"/>
      <x:c r="H166" s="119"/>
      <x:c r="I166" s="119"/>
      <x:c r="J166" s="119"/>
      <x:c r="K166" s="119"/>
      <x:c r="L166" s="119"/>
      <x:c r="M166" s="119"/>
      <x:c r="N166" s="119"/>
      <x:c r="O166" s="119"/>
      <x:c r="P166" s="119"/>
    </x:row>
    <x:row r="167">
      <x:c r="A167" s="119"/>
      <x:c r="B167" s="119"/>
      <x:c r="C167" s="119"/>
      <x:c r="D167" s="119"/>
      <x:c r="E167" s="119"/>
      <x:c r="F167" s="119"/>
      <x:c r="G167" s="119"/>
      <x:c r="H167" s="119"/>
      <x:c r="I167" s="119"/>
      <x:c r="J167" s="119"/>
      <x:c r="K167" s="119"/>
      <x:c r="L167" s="119"/>
      <x:c r="M167" s="119"/>
      <x:c r="N167" s="119"/>
      <x:c r="O167" s="119"/>
      <x:c r="P167" s="119"/>
    </x:row>
    <x:row r="168">
      <x:c r="A168" s="119"/>
      <x:c r="B168" s="119"/>
      <x:c r="C168" s="119"/>
      <x:c r="D168" s="119"/>
      <x:c r="E168" s="119"/>
      <x:c r="F168" s="119"/>
      <x:c r="G168" s="119"/>
      <x:c r="H168" s="119"/>
      <x:c r="I168" s="119"/>
      <x:c r="J168" s="119"/>
      <x:c r="K168" s="119"/>
      <x:c r="L168" s="119"/>
      <x:c r="M168" s="119"/>
      <x:c r="N168" s="119"/>
      <x:c r="O168" s="119"/>
      <x:c r="P168" s="119"/>
    </x:row>
    <x:row r="169">
      <x:c r="A169" s="119"/>
      <x:c r="B169" s="119"/>
      <x:c r="C169" s="119"/>
      <x:c r="D169" s="119"/>
      <x:c r="E169" s="119"/>
      <x:c r="F169" s="119"/>
      <x:c r="G169" s="119"/>
      <x:c r="H169" s="119"/>
      <x:c r="I169" s="119"/>
      <x:c r="J169" s="119"/>
      <x:c r="K169" s="119"/>
      <x:c r="L169" s="119"/>
      <x:c r="M169" s="119"/>
      <x:c r="N169" s="119"/>
      <x:c r="O169" s="119"/>
      <x:c r="P169" s="119"/>
    </x:row>
    <x:row r="170">
      <x:c r="A170" s="119"/>
      <x:c r="B170" s="119"/>
      <x:c r="C170" s="119"/>
      <x:c r="D170" s="119"/>
      <x:c r="E170" s="119"/>
      <x:c r="F170" s="119"/>
      <x:c r="G170" s="119"/>
      <x:c r="H170" s="119"/>
      <x:c r="I170" s="119"/>
      <x:c r="J170" s="119"/>
      <x:c r="K170" s="119"/>
      <x:c r="L170" s="119"/>
      <x:c r="M170" s="119"/>
      <x:c r="N170" s="119"/>
      <x:c r="O170" s="119"/>
      <x:c r="P170" s="119"/>
    </x:row>
    <x:row r="171">
      <x:c r="A171" s="119"/>
      <x:c r="B171" s="119"/>
      <x:c r="C171" s="119"/>
      <x:c r="D171" s="119"/>
      <x:c r="E171" s="119"/>
      <x:c r="F171" s="119"/>
      <x:c r="G171" s="119"/>
      <x:c r="H171" s="119"/>
      <x:c r="I171" s="119"/>
      <x:c r="J171" s="119"/>
      <x:c r="K171" s="119"/>
      <x:c r="L171" s="119"/>
      <x:c r="M171" s="119"/>
      <x:c r="N171" s="119"/>
      <x:c r="O171" s="119"/>
      <x:c r="P171" s="119"/>
    </x:row>
    <x:row r="172">
      <x:c r="A172" s="119"/>
      <x:c r="B172" s="119"/>
      <x:c r="C172" s="119"/>
      <x:c r="D172" s="119"/>
      <x:c r="E172" s="119"/>
      <x:c r="F172" s="119"/>
      <x:c r="G172" s="119"/>
      <x:c r="H172" s="119"/>
      <x:c r="I172" s="119"/>
      <x:c r="J172" s="119"/>
      <x:c r="K172" s="119"/>
      <x:c r="L172" s="119"/>
      <x:c r="M172" s="119"/>
      <x:c r="N172" s="119"/>
      <x:c r="O172" s="119"/>
      <x:c r="P172" s="119"/>
    </x:row>
    <x:row r="173">
      <x:c r="A173" s="119"/>
      <x:c r="B173" s="119"/>
      <x:c r="C173" s="119"/>
      <x:c r="D173" s="119"/>
      <x:c r="E173" s="119"/>
      <x:c r="F173" s="119"/>
      <x:c r="G173" s="119"/>
      <x:c r="H173" s="119"/>
      <x:c r="I173" s="119"/>
      <x:c r="J173" s="119"/>
      <x:c r="K173" s="119"/>
      <x:c r="L173" s="119"/>
      <x:c r="M173" s="119"/>
      <x:c r="N173" s="119"/>
      <x:c r="O173" s="119"/>
      <x:c r="P173" s="119"/>
    </x:row>
    <x:row r="174">
      <x:c r="A174" s="119"/>
      <x:c r="B174" s="119"/>
      <x:c r="C174" s="119"/>
      <x:c r="D174" s="119"/>
      <x:c r="E174" s="119"/>
      <x:c r="F174" s="119"/>
      <x:c r="G174" s="119"/>
      <x:c r="H174" s="119"/>
      <x:c r="I174" s="119"/>
      <x:c r="J174" s="119"/>
      <x:c r="K174" s="119"/>
      <x:c r="L174" s="119"/>
      <x:c r="M174" s="119"/>
      <x:c r="N174" s="119"/>
      <x:c r="O174" s="119"/>
      <x:c r="P174" s="119"/>
    </x:row>
    <x:row r="175">
      <x:c r="A175" s="119"/>
      <x:c r="B175" s="119"/>
      <x:c r="C175" s="119"/>
      <x:c r="D175" s="119"/>
      <x:c r="E175" s="119"/>
      <x:c r="F175" s="119"/>
      <x:c r="G175" s="119"/>
      <x:c r="H175" s="119"/>
      <x:c r="I175" s="119"/>
      <x:c r="J175" s="119"/>
      <x:c r="K175" s="119"/>
      <x:c r="L175" s="119"/>
      <x:c r="M175" s="119"/>
      <x:c r="N175" s="119"/>
      <x:c r="O175" s="119"/>
      <x:c r="P175" s="119"/>
    </x:row>
    <x:row r="176">
      <x:c r="A176" s="119"/>
      <x:c r="B176" s="119"/>
      <x:c r="C176" s="119"/>
      <x:c r="D176" s="119"/>
      <x:c r="E176" s="119"/>
      <x:c r="F176" s="119"/>
      <x:c r="G176" s="119"/>
      <x:c r="H176" s="119"/>
      <x:c r="I176" s="119"/>
      <x:c r="J176" s="119"/>
      <x:c r="K176" s="119"/>
      <x:c r="L176" s="119"/>
      <x:c r="M176" s="119"/>
      <x:c r="N176" s="119"/>
      <x:c r="O176" s="119"/>
      <x:c r="P176" s="119"/>
    </x:row>
    <x:row r="177">
      <x:c r="A177" s="119"/>
      <x:c r="B177" s="119"/>
      <x:c r="C177" s="119"/>
      <x:c r="D177" s="119"/>
      <x:c r="E177" s="119"/>
      <x:c r="F177" s="119"/>
      <x:c r="G177" s="119"/>
      <x:c r="H177" s="119"/>
      <x:c r="I177" s="119"/>
      <x:c r="J177" s="119"/>
      <x:c r="K177" s="119"/>
      <x:c r="L177" s="119"/>
      <x:c r="M177" s="119"/>
      <x:c r="N177" s="119"/>
      <x:c r="O177" s="119"/>
      <x:c r="P177" s="119"/>
    </x:row>
    <x:row r="178">
      <x:c r="A178" s="119"/>
      <x:c r="B178" s="119"/>
      <x:c r="C178" s="119"/>
      <x:c r="D178" s="119"/>
      <x:c r="E178" s="119"/>
      <x:c r="F178" s="119"/>
      <x:c r="G178" s="119"/>
      <x:c r="H178" s="119"/>
      <x:c r="I178" s="119"/>
      <x:c r="J178" s="119"/>
      <x:c r="K178" s="119"/>
      <x:c r="L178" s="119"/>
      <x:c r="M178" s="119"/>
      <x:c r="N178" s="119"/>
      <x:c r="O178" s="119"/>
      <x:c r="P178" s="119"/>
    </x:row>
    <x:row r="179">
      <x:c r="A179" s="119"/>
      <x:c r="B179" s="119"/>
      <x:c r="C179" s="119"/>
      <x:c r="D179" s="119"/>
      <x:c r="E179" s="119"/>
      <x:c r="F179" s="119"/>
      <x:c r="G179" s="119"/>
      <x:c r="H179" s="119"/>
      <x:c r="I179" s="119"/>
      <x:c r="J179" s="119"/>
      <x:c r="K179" s="119"/>
      <x:c r="L179" s="119"/>
      <x:c r="M179" s="119"/>
      <x:c r="N179" s="119"/>
      <x:c r="O179" s="119"/>
      <x:c r="P179" s="119"/>
    </x:row>
    <x:row r="180">
      <x:c r="A180" s="119"/>
      <x:c r="B180" s="119"/>
      <x:c r="C180" s="119"/>
      <x:c r="D180" s="119"/>
      <x:c r="E180" s="119"/>
      <x:c r="F180" s="119"/>
      <x:c r="G180" s="119"/>
      <x:c r="H180" s="119"/>
      <x:c r="I180" s="119"/>
      <x:c r="J180" s="119"/>
      <x:c r="K180" s="119"/>
      <x:c r="L180" s="119"/>
      <x:c r="M180" s="119"/>
      <x:c r="N180" s="119"/>
      <x:c r="O180" s="119"/>
      <x:c r="P180" s="119"/>
    </x:row>
    <x:row r="181">
      <x:c r="A181" s="119"/>
      <x:c r="B181" s="119"/>
      <x:c r="C181" s="119"/>
      <x:c r="D181" s="119"/>
      <x:c r="E181" s="119"/>
      <x:c r="F181" s="119"/>
      <x:c r="G181" s="119"/>
      <x:c r="H181" s="119"/>
      <x:c r="I181" s="119"/>
      <x:c r="J181" s="119"/>
      <x:c r="K181" s="119"/>
      <x:c r="L181" s="119"/>
      <x:c r="M181" s="119"/>
      <x:c r="N181" s="119"/>
      <x:c r="O181" s="119"/>
      <x:c r="P181" s="119"/>
    </x:row>
    <x:row r="182">
      <x:c r="A182" s="119"/>
      <x:c r="B182" s="119"/>
      <x:c r="C182" s="119"/>
      <x:c r="D182" s="119"/>
      <x:c r="E182" s="119"/>
      <x:c r="F182" s="119"/>
      <x:c r="G182" s="119"/>
      <x:c r="H182" s="119"/>
      <x:c r="I182" s="119"/>
      <x:c r="J182" s="119"/>
      <x:c r="K182" s="119"/>
      <x:c r="L182" s="119"/>
      <x:c r="M182" s="119"/>
      <x:c r="N182" s="119"/>
      <x:c r="O182" s="119"/>
      <x:c r="P182" s="119"/>
    </x:row>
    <x:row r="183">
      <x:c r="A183" s="119"/>
      <x:c r="B183" s="119"/>
      <x:c r="C183" s="119"/>
      <x:c r="D183" s="119"/>
      <x:c r="E183" s="119"/>
      <x:c r="F183" s="119"/>
      <x:c r="G183" s="119"/>
      <x:c r="H183" s="119"/>
      <x:c r="I183" s="119"/>
      <x:c r="J183" s="119"/>
      <x:c r="K183" s="119"/>
      <x:c r="L183" s="119"/>
      <x:c r="M183" s="119"/>
      <x:c r="N183" s="119"/>
      <x:c r="O183" s="119"/>
      <x:c r="P183" s="119"/>
    </x:row>
    <x:row r="184">
      <x:c r="A184" s="119"/>
      <x:c r="B184" s="119"/>
      <x:c r="C184" s="119"/>
      <x:c r="D184" s="119"/>
      <x:c r="E184" s="119"/>
      <x:c r="F184" s="119"/>
      <x:c r="G184" s="119"/>
      <x:c r="H184" s="119"/>
      <x:c r="I184" s="119"/>
      <x:c r="J184" s="119"/>
      <x:c r="K184" s="119"/>
      <x:c r="L184" s="119"/>
      <x:c r="M184" s="119"/>
      <x:c r="N184" s="119"/>
      <x:c r="O184" s="119"/>
      <x:c r="P184" s="119"/>
    </x:row>
    <x:row r="185">
      <x:c r="A185" s="119"/>
      <x:c r="B185" s="119"/>
      <x:c r="C185" s="119"/>
      <x:c r="D185" s="119"/>
      <x:c r="E185" s="119"/>
      <x:c r="F185" s="119"/>
      <x:c r="G185" s="119"/>
      <x:c r="H185" s="119"/>
      <x:c r="I185" s="119"/>
      <x:c r="J185" s="119"/>
      <x:c r="K185" s="119"/>
      <x:c r="L185" s="119"/>
      <x:c r="M185" s="119"/>
      <x:c r="N185" s="119"/>
      <x:c r="O185" s="119"/>
      <x:c r="P185" s="119"/>
    </x:row>
    <x:row r="186">
      <x:c r="A186" s="119"/>
      <x:c r="B186" s="119"/>
      <x:c r="C186" s="119"/>
      <x:c r="D186" s="119"/>
      <x:c r="E186" s="119"/>
      <x:c r="F186" s="119"/>
      <x:c r="G186" s="119"/>
      <x:c r="H186" s="119"/>
      <x:c r="I186" s="119"/>
      <x:c r="J186" s="119"/>
      <x:c r="K186" s="119"/>
      <x:c r="L186" s="119"/>
      <x:c r="M186" s="119"/>
      <x:c r="N186" s="119"/>
      <x:c r="O186" s="119"/>
      <x:c r="P186" s="119"/>
    </x:row>
    <x:row r="187">
      <x:c r="A187" s="119"/>
      <x:c r="B187" s="119"/>
      <x:c r="C187" s="119"/>
      <x:c r="D187" s="119"/>
      <x:c r="E187" s="119"/>
      <x:c r="F187" s="119"/>
      <x:c r="G187" s="119"/>
      <x:c r="H187" s="119"/>
      <x:c r="I187" s="119"/>
      <x:c r="J187" s="119"/>
      <x:c r="K187" s="119"/>
      <x:c r="L187" s="119"/>
      <x:c r="M187" s="119"/>
      <x:c r="N187" s="119"/>
      <x:c r="O187" s="119"/>
      <x:c r="P187" s="119"/>
    </x:row>
    <x:row r="188">
      <x:c r="A188" s="119"/>
      <x:c r="B188" s="119"/>
      <x:c r="C188" s="119"/>
      <x:c r="D188" s="119"/>
      <x:c r="E188" s="119"/>
      <x:c r="F188" s="119"/>
      <x:c r="G188" s="119"/>
      <x:c r="H188" s="119"/>
      <x:c r="I188" s="119"/>
      <x:c r="J188" s="119"/>
      <x:c r="K188" s="119"/>
      <x:c r="L188" s="119"/>
      <x:c r="M188" s="119"/>
      <x:c r="N188" s="119"/>
      <x:c r="O188" s="119"/>
      <x:c r="P188" s="119"/>
    </x:row>
    <x:row r="189">
      <x:c r="A189" s="119"/>
      <x:c r="B189" s="119"/>
      <x:c r="C189" s="119"/>
      <x:c r="D189" s="119"/>
      <x:c r="E189" s="119"/>
      <x:c r="F189" s="119"/>
      <x:c r="G189" s="119"/>
      <x:c r="H189" s="119"/>
      <x:c r="I189" s="119"/>
      <x:c r="J189" s="119"/>
      <x:c r="K189" s="119"/>
      <x:c r="L189" s="119"/>
      <x:c r="M189" s="119"/>
      <x:c r="N189" s="119"/>
      <x:c r="O189" s="119"/>
      <x:c r="P189" s="119"/>
    </x:row>
    <x:row r="190">
      <x:c r="A190" s="119"/>
      <x:c r="B190" s="119"/>
      <x:c r="C190" s="119"/>
      <x:c r="D190" s="119"/>
      <x:c r="E190" s="119"/>
      <x:c r="F190" s="119"/>
      <x:c r="G190" s="119"/>
      <x:c r="H190" s="119"/>
      <x:c r="I190" s="119"/>
      <x:c r="J190" s="119"/>
      <x:c r="K190" s="119"/>
      <x:c r="L190" s="119"/>
      <x:c r="M190" s="119"/>
      <x:c r="N190" s="119"/>
      <x:c r="O190" s="119"/>
      <x:c r="P190" s="119"/>
    </x:row>
    <x:row r="191">
      <x:c r="A191" s="119"/>
      <x:c r="B191" s="119"/>
      <x:c r="C191" s="119"/>
      <x:c r="D191" s="119"/>
      <x:c r="E191" s="119"/>
      <x:c r="F191" s="119"/>
      <x:c r="G191" s="119"/>
      <x:c r="H191" s="119"/>
      <x:c r="I191" s="119"/>
      <x:c r="J191" s="119"/>
      <x:c r="K191" s="119"/>
      <x:c r="L191" s="119"/>
      <x:c r="M191" s="119"/>
      <x:c r="N191" s="119"/>
      <x:c r="O191" s="119"/>
      <x:c r="P191" s="119"/>
    </x:row>
    <x:row r="192">
      <x:c r="A192" s="119"/>
      <x:c r="B192" s="119"/>
      <x:c r="C192" s="119"/>
      <x:c r="D192" s="119"/>
      <x:c r="E192" s="119"/>
      <x:c r="F192" s="119"/>
      <x:c r="G192" s="119"/>
      <x:c r="H192" s="119"/>
      <x:c r="I192" s="119"/>
      <x:c r="J192" s="119"/>
      <x:c r="K192" s="119"/>
      <x:c r="L192" s="119"/>
      <x:c r="M192" s="119"/>
      <x:c r="N192" s="119"/>
      <x:c r="O192" s="119"/>
      <x:c r="P192" s="119"/>
    </x:row>
    <x:row r="193">
      <x:c r="A193" s="119"/>
      <x:c r="B193" s="119"/>
      <x:c r="C193" s="119"/>
      <x:c r="D193" s="119"/>
      <x:c r="E193" s="119"/>
      <x:c r="F193" s="119"/>
      <x:c r="G193" s="119"/>
      <x:c r="H193" s="119"/>
      <x:c r="I193" s="119"/>
      <x:c r="J193" s="119"/>
      <x:c r="K193" s="119"/>
      <x:c r="L193" s="119"/>
      <x:c r="M193" s="119"/>
      <x:c r="N193" s="119"/>
      <x:c r="O193" s="119"/>
      <x:c r="P193" s="119"/>
    </x:row>
    <x:row r="194">
      <x:c r="A194" s="119"/>
      <x:c r="B194" s="119"/>
      <x:c r="C194" s="119"/>
      <x:c r="D194" s="119"/>
      <x:c r="E194" s="119"/>
      <x:c r="F194" s="119"/>
      <x:c r="G194" s="119"/>
      <x:c r="H194" s="119"/>
      <x:c r="I194" s="119"/>
      <x:c r="J194" s="119"/>
      <x:c r="K194" s="119"/>
      <x:c r="L194" s="119"/>
      <x:c r="M194" s="119"/>
      <x:c r="N194" s="119"/>
      <x:c r="O194" s="119"/>
      <x:c r="P194" s="119"/>
    </x:row>
    <x:row r="195">
      <x:c r="A195" s="119"/>
      <x:c r="B195" s="119"/>
      <x:c r="C195" s="119"/>
      <x:c r="D195" s="119"/>
      <x:c r="E195" s="119"/>
      <x:c r="F195" s="119"/>
      <x:c r="G195" s="119"/>
      <x:c r="H195" s="119"/>
      <x:c r="I195" s="119"/>
      <x:c r="J195" s="119"/>
      <x:c r="K195" s="119"/>
      <x:c r="L195" s="119"/>
      <x:c r="M195" s="119"/>
      <x:c r="N195" s="119"/>
      <x:c r="O195" s="119"/>
      <x:c r="P195" s="119"/>
    </x:row>
    <x:row r="196">
      <x:c r="A196" s="119"/>
      <x:c r="B196" s="119"/>
      <x:c r="C196" s="119"/>
      <x:c r="D196" s="119"/>
      <x:c r="E196" s="119"/>
      <x:c r="F196" s="119"/>
      <x:c r="G196" s="119"/>
      <x:c r="H196" s="119"/>
      <x:c r="I196" s="119"/>
      <x:c r="J196" s="119"/>
      <x:c r="K196" s="119"/>
      <x:c r="L196" s="119"/>
      <x:c r="M196" s="119"/>
      <x:c r="N196" s="119"/>
      <x:c r="O196" s="119"/>
      <x:c r="P196" s="119"/>
    </x:row>
    <x:row r="197">
      <x:c r="A197" s="119"/>
      <x:c r="B197" s="119"/>
      <x:c r="C197" s="119"/>
      <x:c r="D197" s="119"/>
      <x:c r="E197" s="119"/>
      <x:c r="F197" s="119"/>
      <x:c r="G197" s="119"/>
      <x:c r="H197" s="119"/>
      <x:c r="I197" s="119"/>
      <x:c r="J197" s="119"/>
      <x:c r="K197" s="119"/>
      <x:c r="L197" s="119"/>
      <x:c r="M197" s="119"/>
      <x:c r="N197" s="119"/>
      <x:c r="O197" s="119"/>
      <x:c r="P197" s="119"/>
    </x:row>
    <x:row r="198">
      <x:c r="A198" s="119"/>
      <x:c r="B198" s="119"/>
      <x:c r="C198" s="119"/>
      <x:c r="D198" s="119"/>
      <x:c r="E198" s="119"/>
      <x:c r="F198" s="119"/>
      <x:c r="G198" s="119"/>
      <x:c r="H198" s="119"/>
      <x:c r="I198" s="119"/>
      <x:c r="J198" s="119"/>
      <x:c r="K198" s="119"/>
      <x:c r="L198" s="119"/>
      <x:c r="M198" s="119"/>
      <x:c r="N198" s="119"/>
      <x:c r="O198" s="119"/>
      <x:c r="P198" s="119"/>
    </x:row>
    <x:row r="199">
      <x:c r="A199" s="119"/>
      <x:c r="B199" s="119"/>
      <x:c r="C199" s="119"/>
      <x:c r="D199" s="119"/>
      <x:c r="E199" s="119"/>
      <x:c r="F199" s="119"/>
      <x:c r="G199" s="119"/>
      <x:c r="H199" s="119"/>
      <x:c r="I199" s="119"/>
      <x:c r="J199" s="119"/>
      <x:c r="K199" s="119"/>
      <x:c r="L199" s="119"/>
      <x:c r="M199" s="119"/>
      <x:c r="N199" s="119"/>
      <x:c r="O199" s="119"/>
      <x:c r="P199" s="119"/>
    </x:row>
    <x:row r="200">
      <x:c r="A200" s="119"/>
      <x:c r="B200" s="119"/>
      <x:c r="C200" s="119"/>
      <x:c r="D200" s="119"/>
      <x:c r="E200" s="119"/>
      <x:c r="F200" s="119"/>
      <x:c r="G200" s="119"/>
      <x:c r="H200" s="119"/>
      <x:c r="I200" s="119"/>
      <x:c r="J200" s="119"/>
      <x:c r="K200" s="119"/>
      <x:c r="L200" s="119"/>
      <x:c r="M200" s="119"/>
      <x:c r="N200" s="119"/>
      <x:c r="O200" s="119"/>
      <x:c r="P200" s="119"/>
    </x:row>
    <x:row r="201">
      <x:c r="A201" s="119"/>
      <x:c r="B201" s="119"/>
      <x:c r="C201" s="119"/>
      <x:c r="D201" s="119"/>
      <x:c r="E201" s="119"/>
      <x:c r="F201" s="119"/>
      <x:c r="G201" s="119"/>
      <x:c r="H201" s="119"/>
      <x:c r="I201" s="119"/>
      <x:c r="J201" s="119"/>
      <x:c r="K201" s="119"/>
      <x:c r="L201" s="119"/>
      <x:c r="M201" s="119"/>
      <x:c r="N201" s="119"/>
      <x:c r="O201" s="119"/>
      <x:c r="P201" s="119"/>
    </x:row>
    <x:row r="202">
      <x:c r="A202" s="119"/>
      <x:c r="B202" s="119"/>
      <x:c r="C202" s="119"/>
      <x:c r="D202" s="119"/>
      <x:c r="E202" s="119"/>
      <x:c r="F202" s="119"/>
      <x:c r="G202" s="119"/>
      <x:c r="H202" s="119"/>
      <x:c r="I202" s="119"/>
      <x:c r="J202" s="119"/>
      <x:c r="K202" s="119"/>
      <x:c r="L202" s="119"/>
      <x:c r="M202" s="119"/>
      <x:c r="N202" s="119"/>
      <x:c r="O202" s="119"/>
      <x:c r="P202" s="119"/>
    </x:row>
    <x:row r="203">
      <x:c r="A203" s="119"/>
      <x:c r="B203" s="119"/>
      <x:c r="C203" s="119"/>
      <x:c r="D203" s="119"/>
      <x:c r="E203" s="119"/>
      <x:c r="F203" s="119"/>
      <x:c r="G203" s="119"/>
      <x:c r="H203" s="119"/>
      <x:c r="I203" s="119"/>
      <x:c r="J203" s="119"/>
      <x:c r="K203" s="119"/>
      <x:c r="L203" s="119"/>
      <x:c r="M203" s="119"/>
      <x:c r="N203" s="119"/>
      <x:c r="O203" s="119"/>
      <x:c r="P203" s="119"/>
    </x:row>
    <x:row r="204">
      <x:c r="A204" s="119"/>
      <x:c r="B204" s="119"/>
      <x:c r="C204" s="119"/>
      <x:c r="D204" s="119"/>
      <x:c r="E204" s="119"/>
      <x:c r="F204" s="119"/>
      <x:c r="G204" s="119"/>
      <x:c r="H204" s="119"/>
      <x:c r="I204" s="119"/>
      <x:c r="J204" s="119"/>
      <x:c r="K204" s="119"/>
      <x:c r="L204" s="119"/>
      <x:c r="M204" s="119"/>
      <x:c r="N204" s="119"/>
      <x:c r="O204" s="119"/>
      <x:c r="P204" s="119"/>
    </x:row>
    <x:row r="205">
      <x:c r="A205" s="119"/>
      <x:c r="B205" s="119"/>
      <x:c r="C205" s="119"/>
      <x:c r="D205" s="119"/>
      <x:c r="E205" s="119"/>
      <x:c r="F205" s="119"/>
      <x:c r="G205" s="119"/>
      <x:c r="H205" s="119"/>
      <x:c r="I205" s="119"/>
      <x:c r="J205" s="119"/>
      <x:c r="K205" s="119"/>
      <x:c r="L205" s="119"/>
      <x:c r="M205" s="119"/>
      <x:c r="N205" s="119"/>
      <x:c r="O205" s="119"/>
      <x:c r="P205" s="119"/>
    </x:row>
    <x:row r="206">
      <x:c r="A206" s="119"/>
      <x:c r="B206" s="119"/>
      <x:c r="C206" s="119"/>
      <x:c r="D206" s="119"/>
      <x:c r="E206" s="119"/>
      <x:c r="F206" s="119"/>
      <x:c r="G206" s="119"/>
      <x:c r="H206" s="119"/>
      <x:c r="I206" s="119"/>
      <x:c r="J206" s="119"/>
      <x:c r="K206" s="119"/>
      <x:c r="L206" s="119"/>
      <x:c r="M206" s="119"/>
      <x:c r="N206" s="119"/>
      <x:c r="O206" s="119"/>
      <x:c r="P206" s="119"/>
    </x:row>
    <x:row r="207">
      <x:c r="A207" s="119"/>
      <x:c r="B207" s="119"/>
      <x:c r="C207" s="119"/>
      <x:c r="D207" s="119"/>
      <x:c r="E207" s="119"/>
      <x:c r="F207" s="119"/>
      <x:c r="G207" s="119"/>
      <x:c r="H207" s="119"/>
      <x:c r="I207" s="119"/>
      <x:c r="J207" s="119"/>
      <x:c r="K207" s="119"/>
      <x:c r="L207" s="119"/>
      <x:c r="M207" s="119"/>
      <x:c r="N207" s="119"/>
      <x:c r="O207" s="119"/>
      <x:c r="P207" s="119"/>
    </x:row>
    <x:row r="208">
      <x:c r="A208" s="119"/>
      <x:c r="B208" s="119"/>
      <x:c r="C208" s="119"/>
      <x:c r="D208" s="119"/>
      <x:c r="E208" s="119"/>
      <x:c r="F208" s="119"/>
      <x:c r="G208" s="119"/>
      <x:c r="H208" s="119"/>
      <x:c r="I208" s="119"/>
      <x:c r="J208" s="119"/>
      <x:c r="K208" s="119"/>
      <x:c r="L208" s="119"/>
      <x:c r="M208" s="119"/>
      <x:c r="N208" s="119"/>
      <x:c r="O208" s="119"/>
      <x:c r="P208" s="119"/>
    </x:row>
    <x:row r="209">
      <x:c r="A209" s="119"/>
      <x:c r="B209" s="119"/>
      <x:c r="C209" s="119"/>
      <x:c r="D209" s="119"/>
      <x:c r="E209" s="119"/>
      <x:c r="F209" s="119"/>
      <x:c r="G209" s="119"/>
      <x:c r="H209" s="119"/>
      <x:c r="I209" s="119"/>
      <x:c r="J209" s="119"/>
      <x:c r="K209" s="119"/>
      <x:c r="L209" s="119"/>
      <x:c r="M209" s="119"/>
      <x:c r="N209" s="119"/>
      <x:c r="O209" s="119"/>
      <x:c r="P209" s="119"/>
    </x:row>
    <x:row r="210">
      <x:c r="A210" s="119"/>
      <x:c r="B210" s="119"/>
      <x:c r="C210" s="119"/>
      <x:c r="D210" s="119"/>
      <x:c r="E210" s="119"/>
      <x:c r="F210" s="119"/>
      <x:c r="G210" s="119"/>
      <x:c r="H210" s="119"/>
      <x:c r="I210" s="119"/>
      <x:c r="J210" s="119"/>
      <x:c r="K210" s="119"/>
      <x:c r="L210" s="119"/>
      <x:c r="M210" s="119"/>
      <x:c r="N210" s="119"/>
      <x:c r="O210" s="119"/>
      <x:c r="P210" s="119"/>
    </x:row>
    <x:row r="211">
      <x:c r="A211" s="119"/>
      <x:c r="B211" s="119"/>
      <x:c r="C211" s="119"/>
      <x:c r="D211" s="119"/>
      <x:c r="E211" s="119"/>
      <x:c r="F211" s="119"/>
      <x:c r="G211" s="119"/>
      <x:c r="H211" s="119"/>
      <x:c r="I211" s="119"/>
      <x:c r="J211" s="119"/>
      <x:c r="K211" s="119"/>
      <x:c r="L211" s="119"/>
      <x:c r="M211" s="119"/>
      <x:c r="N211" s="119"/>
      <x:c r="O211" s="119"/>
      <x:c r="P211" s="119"/>
    </x:row>
    <x:row r="212">
      <x:c r="A212" s="119"/>
      <x:c r="B212" s="119"/>
      <x:c r="C212" s="119"/>
      <x:c r="D212" s="119"/>
      <x:c r="E212" s="119"/>
      <x:c r="F212" s="119"/>
      <x:c r="G212" s="119"/>
      <x:c r="H212" s="119"/>
      <x:c r="I212" s="119"/>
      <x:c r="J212" s="119"/>
      <x:c r="K212" s="119"/>
      <x:c r="L212" s="119"/>
      <x:c r="M212" s="119"/>
      <x:c r="N212" s="119"/>
      <x:c r="O212" s="119"/>
      <x:c r="P212" s="119"/>
    </x:row>
    <x:row r="213">
      <x:c r="A213" s="119"/>
      <x:c r="B213" s="119"/>
      <x:c r="C213" s="119"/>
      <x:c r="D213" s="119"/>
      <x:c r="E213" s="119"/>
      <x:c r="F213" s="119"/>
      <x:c r="G213" s="119"/>
      <x:c r="H213" s="119"/>
      <x:c r="I213" s="119"/>
      <x:c r="J213" s="119"/>
      <x:c r="K213" s="119"/>
      <x:c r="L213" s="119"/>
      <x:c r="M213" s="119"/>
      <x:c r="N213" s="119"/>
      <x:c r="O213" s="119"/>
      <x:c r="P213" s="119"/>
    </x:row>
    <x:row r="214">
      <x:c r="A214" s="119"/>
      <x:c r="B214" s="119"/>
      <x:c r="C214" s="119"/>
      <x:c r="D214" s="119"/>
      <x:c r="E214" s="119"/>
      <x:c r="F214" s="119"/>
      <x:c r="G214" s="119"/>
      <x:c r="H214" s="119"/>
      <x:c r="I214" s="119"/>
      <x:c r="J214" s="119"/>
      <x:c r="K214" s="119"/>
      <x:c r="L214" s="119"/>
      <x:c r="M214" s="119"/>
      <x:c r="N214" s="119"/>
      <x:c r="O214" s="119"/>
      <x:c r="P214" s="119"/>
    </x:row>
    <x:row r="215">
      <x:c r="A215" s="119"/>
      <x:c r="B215" s="119"/>
      <x:c r="C215" s="119"/>
      <x:c r="D215" s="119"/>
      <x:c r="E215" s="119"/>
      <x:c r="F215" s="119"/>
      <x:c r="G215" s="119"/>
      <x:c r="H215" s="119"/>
      <x:c r="I215" s="119"/>
      <x:c r="J215" s="119"/>
      <x:c r="K215" s="119"/>
      <x:c r="L215" s="119"/>
      <x:c r="M215" s="119"/>
      <x:c r="N215" s="119"/>
      <x:c r="O215" s="119"/>
      <x:c r="P215" s="119"/>
    </x:row>
    <x:row r="216">
      <x:c r="A216" s="119"/>
      <x:c r="B216" s="119"/>
      <x:c r="C216" s="119"/>
      <x:c r="D216" s="119"/>
      <x:c r="E216" s="119"/>
      <x:c r="F216" s="119"/>
      <x:c r="G216" s="119"/>
      <x:c r="H216" s="119"/>
      <x:c r="I216" s="119"/>
      <x:c r="J216" s="119"/>
      <x:c r="K216" s="119"/>
      <x:c r="L216" s="119"/>
      <x:c r="M216" s="119"/>
      <x:c r="N216" s="119"/>
      <x:c r="O216" s="119"/>
      <x:c r="P216" s="119"/>
    </x:row>
    <x:row r="217">
      <x:c r="A217" s="119"/>
      <x:c r="B217" s="119"/>
      <x:c r="C217" s="119"/>
      <x:c r="D217" s="119"/>
      <x:c r="E217" s="119"/>
      <x:c r="F217" s="119"/>
      <x:c r="G217" s="119"/>
      <x:c r="H217" s="119"/>
      <x:c r="I217" s="119"/>
      <x:c r="J217" s="119"/>
      <x:c r="K217" s="119"/>
      <x:c r="L217" s="119"/>
      <x:c r="M217" s="119"/>
      <x:c r="N217" s="119"/>
      <x:c r="O217" s="119"/>
      <x:c r="P217" s="119"/>
    </x:row>
    <x:row r="218">
      <x:c r="A218" s="119"/>
      <x:c r="B218" s="119"/>
      <x:c r="C218" s="119"/>
      <x:c r="D218" s="119"/>
      <x:c r="E218" s="119"/>
      <x:c r="F218" s="119"/>
      <x:c r="G218" s="119"/>
      <x:c r="H218" s="119"/>
      <x:c r="I218" s="119"/>
      <x:c r="J218" s="119"/>
      <x:c r="K218" s="119"/>
      <x:c r="L218" s="119"/>
      <x:c r="M218" s="119"/>
      <x:c r="N218" s="119"/>
      <x:c r="O218" s="119"/>
      <x:c r="P218" s="119"/>
    </x:row>
    <x:row r="219">
      <x:c r="A219" s="119"/>
      <x:c r="B219" s="119"/>
      <x:c r="C219" s="119"/>
      <x:c r="D219" s="119"/>
      <x:c r="E219" s="119"/>
      <x:c r="F219" s="119"/>
      <x:c r="G219" s="119"/>
      <x:c r="H219" s="119"/>
      <x:c r="I219" s="119"/>
      <x:c r="J219" s="119"/>
      <x:c r="K219" s="119"/>
      <x:c r="L219" s="119"/>
      <x:c r="M219" s="119"/>
      <x:c r="N219" s="119"/>
      <x:c r="O219" s="119"/>
      <x:c r="P219" s="119"/>
    </x:row>
    <x:row r="220">
      <x:c r="A220" s="119"/>
      <x:c r="B220" s="119"/>
      <x:c r="C220" s="119"/>
      <x:c r="D220" s="119"/>
      <x:c r="E220" s="119"/>
      <x:c r="F220" s="119"/>
      <x:c r="G220" s="119"/>
      <x:c r="H220" s="119"/>
      <x:c r="I220" s="119"/>
      <x:c r="J220" s="119"/>
      <x:c r="K220" s="119"/>
      <x:c r="L220" s="119"/>
      <x:c r="M220" s="119"/>
      <x:c r="N220" s="119"/>
      <x:c r="O220" s="119"/>
      <x:c r="P220" s="119"/>
    </x:row>
    <x:row r="221">
      <x:c r="A221" s="119"/>
      <x:c r="B221" s="119"/>
      <x:c r="C221" s="119"/>
      <x:c r="D221" s="119"/>
      <x:c r="E221" s="119"/>
      <x:c r="F221" s="119"/>
      <x:c r="G221" s="119"/>
      <x:c r="H221" s="119"/>
      <x:c r="I221" s="119"/>
      <x:c r="J221" s="119"/>
      <x:c r="K221" s="119"/>
      <x:c r="L221" s="119"/>
      <x:c r="M221" s="119"/>
      <x:c r="N221" s="119"/>
      <x:c r="O221" s="119"/>
      <x:c r="P221" s="119"/>
    </x:row>
    <x:row r="222">
      <x:c r="A222" s="119"/>
      <x:c r="B222" s="119"/>
      <x:c r="C222" s="119"/>
      <x:c r="D222" s="119"/>
      <x:c r="E222" s="119"/>
      <x:c r="F222" s="119"/>
      <x:c r="G222" s="119"/>
      <x:c r="H222" s="119"/>
      <x:c r="I222" s="119"/>
      <x:c r="J222" s="119"/>
      <x:c r="K222" s="119"/>
      <x:c r="L222" s="119"/>
      <x:c r="M222" s="119"/>
      <x:c r="N222" s="119"/>
      <x:c r="O222" s="119"/>
      <x:c r="P222" s="119"/>
    </x:row>
    <x:row r="223">
      <x:c r="A223" s="119"/>
      <x:c r="B223" s="119"/>
      <x:c r="C223" s="119"/>
      <x:c r="D223" s="119"/>
      <x:c r="E223" s="119"/>
      <x:c r="F223" s="119"/>
      <x:c r="G223" s="119"/>
      <x:c r="H223" s="119"/>
      <x:c r="I223" s="119"/>
      <x:c r="J223" s="119"/>
      <x:c r="K223" s="119"/>
      <x:c r="L223" s="119"/>
      <x:c r="M223" s="119"/>
      <x:c r="N223" s="119"/>
      <x:c r="O223" s="119"/>
      <x:c r="P223" s="119"/>
    </x:row>
    <x:row r="224">
      <x:c r="A224" s="119"/>
      <x:c r="B224" s="119"/>
      <x:c r="C224" s="119"/>
      <x:c r="D224" s="119"/>
      <x:c r="E224" s="119"/>
      <x:c r="F224" s="119"/>
      <x:c r="G224" s="119"/>
      <x:c r="H224" s="119"/>
      <x:c r="I224" s="119"/>
      <x:c r="J224" s="119"/>
      <x:c r="K224" s="119"/>
      <x:c r="L224" s="119"/>
      <x:c r="M224" s="119"/>
      <x:c r="N224" s="119"/>
      <x:c r="O224" s="119"/>
      <x:c r="P224" s="119"/>
    </x:row>
    <x:row r="225">
      <x:c r="A225" s="119"/>
      <x:c r="B225" s="119"/>
      <x:c r="C225" s="119"/>
      <x:c r="D225" s="119"/>
      <x:c r="E225" s="119"/>
      <x:c r="F225" s="119"/>
      <x:c r="G225" s="119"/>
      <x:c r="H225" s="119"/>
      <x:c r="I225" s="119"/>
      <x:c r="J225" s="119"/>
      <x:c r="K225" s="119"/>
      <x:c r="L225" s="119"/>
      <x:c r="M225" s="119"/>
      <x:c r="N225" s="119"/>
      <x:c r="O225" s="119"/>
      <x:c r="P225" s="119"/>
    </x:row>
    <x:row r="226">
      <x:c r="A226" s="119"/>
      <x:c r="B226" s="119"/>
      <x:c r="C226" s="119"/>
      <x:c r="D226" s="119"/>
      <x:c r="E226" s="119"/>
      <x:c r="F226" s="119"/>
      <x:c r="G226" s="119"/>
      <x:c r="H226" s="119"/>
      <x:c r="I226" s="119"/>
      <x:c r="J226" s="119"/>
      <x:c r="K226" s="119"/>
      <x:c r="L226" s="119"/>
      <x:c r="M226" s="119"/>
      <x:c r="N226" s="119"/>
      <x:c r="O226" s="119"/>
      <x:c r="P226" s="119"/>
    </x:row>
    <x:row r="227">
      <x:c r="A227" s="119"/>
      <x:c r="B227" s="119"/>
      <x:c r="C227" s="119"/>
      <x:c r="D227" s="119"/>
      <x:c r="E227" s="119"/>
      <x:c r="F227" s="119"/>
      <x:c r="G227" s="119"/>
      <x:c r="H227" s="119"/>
      <x:c r="I227" s="119"/>
      <x:c r="J227" s="119"/>
      <x:c r="K227" s="119"/>
      <x:c r="L227" s="119"/>
      <x:c r="M227" s="119"/>
      <x:c r="N227" s="119"/>
      <x:c r="O227" s="119"/>
      <x:c r="P227" s="119"/>
    </x:row>
    <x:row r="228">
      <x:c r="A228" s="119"/>
      <x:c r="B228" s="119"/>
      <x:c r="C228" s="119"/>
      <x:c r="D228" s="119"/>
      <x:c r="E228" s="119"/>
      <x:c r="F228" s="119"/>
      <x:c r="G228" s="119"/>
      <x:c r="H228" s="119"/>
      <x:c r="I228" s="119"/>
      <x:c r="J228" s="119"/>
      <x:c r="K228" s="119"/>
      <x:c r="L228" s="119"/>
      <x:c r="M228" s="119"/>
      <x:c r="N228" s="119"/>
      <x:c r="O228" s="119"/>
      <x:c r="P228" s="119"/>
    </x:row>
    <x:row r="229">
      <x:c r="A229" s="119"/>
      <x:c r="B229" s="119"/>
      <x:c r="C229" s="119"/>
      <x:c r="D229" s="119"/>
      <x:c r="E229" s="119"/>
      <x:c r="F229" s="119"/>
      <x:c r="G229" s="119"/>
      <x:c r="H229" s="119"/>
      <x:c r="I229" s="119"/>
      <x:c r="J229" s="119"/>
      <x:c r="K229" s="119"/>
      <x:c r="L229" s="119"/>
      <x:c r="M229" s="119"/>
      <x:c r="N229" s="119"/>
      <x:c r="O229" s="119"/>
      <x:c r="P229" s="119"/>
    </x:row>
    <x:row r="230">
      <x:c r="A230" s="119"/>
      <x:c r="B230" s="119"/>
      <x:c r="C230" s="119"/>
      <x:c r="D230" s="119"/>
      <x:c r="E230" s="119"/>
      <x:c r="F230" s="119"/>
      <x:c r="G230" s="119"/>
      <x:c r="H230" s="119"/>
      <x:c r="I230" s="119"/>
      <x:c r="J230" s="119"/>
      <x:c r="K230" s="119"/>
      <x:c r="L230" s="119"/>
      <x:c r="M230" s="119"/>
      <x:c r="N230" s="119"/>
      <x:c r="O230" s="119"/>
      <x:c r="P230" s="119"/>
    </x:row>
    <x:row r="231">
      <x:c r="A231" s="119"/>
      <x:c r="B231" s="119"/>
      <x:c r="C231" s="119"/>
      <x:c r="D231" s="119"/>
      <x:c r="E231" s="119"/>
      <x:c r="F231" s="119"/>
      <x:c r="G231" s="119"/>
      <x:c r="H231" s="119"/>
      <x:c r="I231" s="119"/>
      <x:c r="J231" s="119"/>
      <x:c r="K231" s="119"/>
      <x:c r="L231" s="119"/>
      <x:c r="M231" s="119"/>
      <x:c r="N231" s="119"/>
      <x:c r="O231" s="119"/>
      <x:c r="P231" s="119"/>
    </x:row>
    <x:row r="232">
      <x:c r="A232" s="119"/>
      <x:c r="B232" s="119"/>
      <x:c r="C232" s="119"/>
      <x:c r="D232" s="119"/>
      <x:c r="E232" s="119"/>
      <x:c r="F232" s="119"/>
      <x:c r="G232" s="119"/>
      <x:c r="H232" s="119"/>
      <x:c r="I232" s="119"/>
      <x:c r="J232" s="119"/>
      <x:c r="K232" s="119"/>
      <x:c r="L232" s="119"/>
      <x:c r="M232" s="119"/>
      <x:c r="N232" s="119"/>
      <x:c r="O232" s="119"/>
      <x:c r="P232" s="119"/>
    </x:row>
    <x:row r="233">
      <x:c r="A233" s="119"/>
      <x:c r="B233" s="119"/>
      <x:c r="C233" s="119"/>
      <x:c r="D233" s="119"/>
      <x:c r="E233" s="119"/>
      <x:c r="F233" s="119"/>
      <x:c r="G233" s="119"/>
      <x:c r="H233" s="119"/>
      <x:c r="I233" s="119"/>
      <x:c r="J233" s="119"/>
      <x:c r="K233" s="119"/>
      <x:c r="L233" s="119"/>
      <x:c r="M233" s="119"/>
      <x:c r="N233" s="119"/>
      <x:c r="O233" s="119"/>
      <x:c r="P233" s="119"/>
    </x:row>
    <x:row r="234">
      <x:c r="A234" s="119"/>
      <x:c r="B234" s="119"/>
      <x:c r="C234" s="119"/>
      <x:c r="D234" s="119"/>
      <x:c r="E234" s="119"/>
      <x:c r="F234" s="119"/>
      <x:c r="G234" s="119"/>
      <x:c r="H234" s="119"/>
      <x:c r="I234" s="119"/>
      <x:c r="J234" s="119"/>
      <x:c r="K234" s="119"/>
      <x:c r="L234" s="119"/>
      <x:c r="M234" s="119"/>
      <x:c r="N234" s="119"/>
      <x:c r="O234" s="119"/>
      <x:c r="P234" s="119"/>
    </x:row>
    <x:row r="235">
      <x:c r="A235" s="119"/>
      <x:c r="B235" s="119"/>
      <x:c r="C235" s="119"/>
      <x:c r="D235" s="119"/>
      <x:c r="E235" s="119"/>
      <x:c r="F235" s="119"/>
      <x:c r="G235" s="119"/>
      <x:c r="H235" s="119"/>
      <x:c r="I235" s="119"/>
      <x:c r="J235" s="119"/>
      <x:c r="K235" s="119"/>
      <x:c r="L235" s="119"/>
      <x:c r="M235" s="119"/>
      <x:c r="N235" s="119"/>
      <x:c r="O235" s="119"/>
      <x:c r="P235" s="119"/>
    </x:row>
    <x:row r="236">
      <x:c r="A236" s="119"/>
      <x:c r="B236" s="119"/>
      <x:c r="C236" s="119"/>
      <x:c r="D236" s="119"/>
      <x:c r="E236" s="119"/>
      <x:c r="F236" s="119"/>
      <x:c r="G236" s="119"/>
      <x:c r="H236" s="119"/>
      <x:c r="I236" s="119"/>
      <x:c r="J236" s="119"/>
      <x:c r="K236" s="119"/>
      <x:c r="L236" s="119"/>
      <x:c r="M236" s="119"/>
      <x:c r="N236" s="119"/>
      <x:c r="O236" s="119"/>
      <x:c r="P236" s="119"/>
    </x:row>
    <x:row r="237">
      <x:c r="A237" s="119"/>
      <x:c r="B237" s="119"/>
      <x:c r="C237" s="119"/>
      <x:c r="D237" s="119"/>
      <x:c r="E237" s="119"/>
      <x:c r="F237" s="119"/>
      <x:c r="G237" s="119"/>
      <x:c r="H237" s="119"/>
      <x:c r="I237" s="119"/>
      <x:c r="J237" s="119"/>
      <x:c r="K237" s="119"/>
      <x:c r="L237" s="119"/>
      <x:c r="M237" s="119"/>
      <x:c r="N237" s="119"/>
      <x:c r="O237" s="119"/>
      <x:c r="P237" s="119"/>
    </x:row>
    <x:row r="238">
      <x:c r="A238" s="119"/>
      <x:c r="B238" s="119"/>
      <x:c r="C238" s="119"/>
      <x:c r="D238" s="119"/>
      <x:c r="E238" s="119"/>
      <x:c r="F238" s="119"/>
      <x:c r="G238" s="119"/>
      <x:c r="H238" s="119"/>
      <x:c r="I238" s="119"/>
      <x:c r="J238" s="119"/>
      <x:c r="K238" s="119"/>
      <x:c r="L238" s="119"/>
      <x:c r="M238" s="119"/>
      <x:c r="N238" s="119"/>
      <x:c r="O238" s="119"/>
      <x:c r="P238" s="119"/>
    </x:row>
    <x:row r="239">
      <x:c r="A239" s="119"/>
      <x:c r="B239" s="119"/>
      <x:c r="C239" s="119"/>
      <x:c r="D239" s="119"/>
      <x:c r="E239" s="119"/>
      <x:c r="F239" s="119"/>
      <x:c r="G239" s="119"/>
      <x:c r="H239" s="119"/>
      <x:c r="I239" s="119"/>
      <x:c r="J239" s="119"/>
      <x:c r="K239" s="119"/>
      <x:c r="L239" s="119"/>
      <x:c r="M239" s="119"/>
      <x:c r="N239" s="119"/>
      <x:c r="O239" s="119"/>
      <x:c r="P239" s="119"/>
    </x:row>
    <x:row r="240">
      <x:c r="A240" s="119"/>
      <x:c r="B240" s="119"/>
      <x:c r="C240" s="119"/>
      <x:c r="D240" s="119"/>
      <x:c r="E240" s="119"/>
      <x:c r="F240" s="119"/>
      <x:c r="G240" s="119"/>
      <x:c r="H240" s="119"/>
      <x:c r="I240" s="119"/>
      <x:c r="J240" s="119"/>
      <x:c r="K240" s="119"/>
      <x:c r="L240" s="119"/>
      <x:c r="M240" s="119"/>
      <x:c r="N240" s="119"/>
      <x:c r="O240" s="119"/>
      <x:c r="P240" s="119"/>
    </x:row>
    <x:row r="241">
      <x:c r="A241" s="119"/>
      <x:c r="B241" s="119"/>
      <x:c r="C241" s="119"/>
      <x:c r="D241" s="119"/>
      <x:c r="E241" s="119"/>
      <x:c r="F241" s="119"/>
      <x:c r="G241" s="119"/>
      <x:c r="H241" s="119"/>
      <x:c r="I241" s="119"/>
      <x:c r="J241" s="119"/>
      <x:c r="K241" s="119"/>
      <x:c r="L241" s="119"/>
      <x:c r="M241" s="119"/>
      <x:c r="N241" s="119"/>
      <x:c r="O241" s="119"/>
      <x:c r="P241" s="119"/>
    </x:row>
    <x:row r="242">
      <x:c r="A242" s="119"/>
      <x:c r="B242" s="119"/>
      <x:c r="C242" s="119"/>
      <x:c r="D242" s="119"/>
      <x:c r="E242" s="119"/>
      <x:c r="F242" s="119"/>
      <x:c r="G242" s="119"/>
      <x:c r="H242" s="119"/>
      <x:c r="I242" s="119"/>
      <x:c r="J242" s="119"/>
      <x:c r="K242" s="119"/>
      <x:c r="L242" s="119"/>
      <x:c r="M242" s="119"/>
      <x:c r="N242" s="119"/>
      <x:c r="O242" s="119"/>
      <x:c r="P242" s="119"/>
    </x:row>
    <x:row r="243">
      <x:c r="A243" s="119"/>
      <x:c r="B243" s="119"/>
      <x:c r="C243" s="119"/>
      <x:c r="D243" s="119"/>
      <x:c r="E243" s="119"/>
      <x:c r="F243" s="119"/>
      <x:c r="G243" s="119"/>
      <x:c r="H243" s="119"/>
      <x:c r="I243" s="119"/>
      <x:c r="J243" s="119"/>
      <x:c r="K243" s="119"/>
      <x:c r="L243" s="119"/>
      <x:c r="M243" s="119"/>
      <x:c r="N243" s="119"/>
      <x:c r="O243" s="119"/>
      <x:c r="P243" s="119"/>
    </x:row>
    <x:row r="244">
      <x:c r="A244" s="119"/>
      <x:c r="B244" s="119"/>
      <x:c r="C244" s="119"/>
      <x:c r="D244" s="119"/>
      <x:c r="E244" s="119"/>
      <x:c r="F244" s="119"/>
      <x:c r="G244" s="119"/>
      <x:c r="H244" s="119"/>
      <x:c r="I244" s="119"/>
      <x:c r="J244" s="119"/>
      <x:c r="K244" s="119"/>
      <x:c r="L244" s="119"/>
      <x:c r="M244" s="119"/>
      <x:c r="N244" s="119"/>
      <x:c r="O244" s="119"/>
      <x:c r="P244" s="119"/>
    </x:row>
    <x:row r="245">
      <x:c r="A245" s="119"/>
      <x:c r="B245" s="119"/>
      <x:c r="C245" s="119"/>
      <x:c r="D245" s="119"/>
      <x:c r="E245" s="119"/>
      <x:c r="F245" s="119"/>
      <x:c r="G245" s="119"/>
      <x:c r="H245" s="119"/>
      <x:c r="I245" s="119"/>
      <x:c r="J245" s="119"/>
      <x:c r="K245" s="119"/>
      <x:c r="L245" s="119"/>
      <x:c r="M245" s="119"/>
      <x:c r="N245" s="119"/>
      <x:c r="O245" s="119"/>
      <x:c r="P245" s="119"/>
    </x:row>
    <x:row r="246">
      <x:c r="A246" s="119"/>
      <x:c r="B246" s="119"/>
      <x:c r="C246" s="119"/>
      <x:c r="D246" s="119"/>
      <x:c r="E246" s="119"/>
      <x:c r="F246" s="119"/>
      <x:c r="G246" s="119"/>
      <x:c r="H246" s="119"/>
      <x:c r="I246" s="119"/>
      <x:c r="J246" s="119"/>
      <x:c r="K246" s="119"/>
      <x:c r="L246" s="119"/>
      <x:c r="M246" s="119"/>
      <x:c r="N246" s="119"/>
      <x:c r="O246" s="119"/>
      <x:c r="P246" s="119"/>
    </x:row>
    <x:row r="247">
      <x:c r="A247" s="119"/>
      <x:c r="B247" s="119"/>
      <x:c r="C247" s="119"/>
      <x:c r="D247" s="119"/>
      <x:c r="E247" s="119"/>
      <x:c r="F247" s="119"/>
      <x:c r="G247" s="119"/>
      <x:c r="H247" s="119"/>
      <x:c r="I247" s="119"/>
      <x:c r="J247" s="119"/>
      <x:c r="K247" s="119"/>
      <x:c r="L247" s="119"/>
      <x:c r="M247" s="119"/>
      <x:c r="N247" s="119"/>
      <x:c r="O247" s="119"/>
      <x:c r="P247" s="119"/>
    </x:row>
    <x:row r="248">
      <x:c r="A248" s="119"/>
      <x:c r="B248" s="119"/>
      <x:c r="C248" s="119"/>
      <x:c r="D248" s="119"/>
      <x:c r="E248" s="119"/>
      <x:c r="F248" s="119"/>
      <x:c r="G248" s="119"/>
      <x:c r="H248" s="119"/>
      <x:c r="I248" s="119"/>
      <x:c r="J248" s="119"/>
      <x:c r="K248" s="119"/>
      <x:c r="L248" s="119"/>
      <x:c r="M248" s="119"/>
      <x:c r="N248" s="119"/>
      <x:c r="O248" s="119"/>
      <x:c r="P248" s="119"/>
    </x:row>
    <x:row r="249">
      <x:c r="A249" s="119"/>
      <x:c r="B249" s="119"/>
      <x:c r="C249" s="119"/>
      <x:c r="D249" s="119"/>
      <x:c r="E249" s="119"/>
      <x:c r="F249" s="119"/>
      <x:c r="G249" s="119"/>
      <x:c r="H249" s="119"/>
      <x:c r="I249" s="119"/>
      <x:c r="J249" s="119"/>
      <x:c r="K249" s="119"/>
      <x:c r="L249" s="119"/>
      <x:c r="M249" s="119"/>
      <x:c r="N249" s="119"/>
      <x:c r="O249" s="119"/>
      <x:c r="P249" s="119"/>
    </x:row>
    <x:row r="250">
      <x:c r="A250" s="119"/>
      <x:c r="B250" s="119"/>
      <x:c r="C250" s="119"/>
      <x:c r="D250" s="119"/>
      <x:c r="E250" s="119"/>
      <x:c r="F250" s="119"/>
      <x:c r="G250" s="119"/>
      <x:c r="H250" s="119"/>
      <x:c r="I250" s="119"/>
      <x:c r="J250" s="119"/>
      <x:c r="K250" s="119"/>
      <x:c r="L250" s="119"/>
      <x:c r="M250" s="119"/>
      <x:c r="N250" s="119"/>
      <x:c r="O250" s="119"/>
      <x:c r="P250" s="119"/>
    </x:row>
  </x:sheetData>
  <x:mergeCells>
    <x:mergeCell ref="A9:D9"/>
    <x:mergeCell ref="A10:D15"/>
  </x:mergeCells>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20" hidden="0" customWidth="1"/>
    <x:col min="5" max="5" width="18" hidden="0" customWidth="1"/>
  </x:cols>
  <x:sheetData>
    <x:row r="1">
      <x:c r="A1" s="5" t="str">
        <x:v>Implementation Score</x:v>
      </x:c>
      <x:c r="B1" s="5" t="str">
        <x:v>Priority</x:v>
      </x:c>
      <x:c r="C1" s="5" t="str">
        <x:v>Status</x:v>
      </x:c>
      <x:c r="D1" s="5" t="str">
        <x:v>Evidence Status</x:v>
      </x:c>
      <x:c r="E1" s="5" t="str">
        <x:v>CSF Function</x:v>
      </x:c>
    </x:row>
    <x:row r="2">
      <x:c r="A2" s="2" t="n">
        <x:v>0</x:v>
      </x:c>
      <x:c r="B2" s="2" t="str">
        <x:v>Critical</x:v>
      </x:c>
      <x:c r="C2" s="2" t="str">
        <x:v>Not Started</x:v>
      </x:c>
      <x:c r="D2" s="2" t="str">
        <x:v>Available</x:v>
      </x:c>
      <x:c r="E2" s="2" t="str">
        <x:v>Govern</x:v>
      </x:c>
    </x:row>
    <x:row r="3">
      <x:c r="A3" s="2" t="n">
        <x:v>1</x:v>
      </x:c>
      <x:c r="B3" s="2" t="str">
        <x:v>High</x:v>
      </x:c>
      <x:c r="C3" s="2" t="str">
        <x:v>In Progress</x:v>
      </x:c>
      <x:c r="D3" s="2" t="str">
        <x:v>Partial</x:v>
      </x:c>
      <x:c r="E3" s="2" t="str">
        <x:v>Identify</x:v>
      </x:c>
    </x:row>
    <x:row r="4">
      <x:c r="A4" s="2" t="n">
        <x:v>2</x:v>
      </x:c>
      <x:c r="B4" s="2" t="str">
        <x:v>Medium</x:v>
      </x:c>
      <x:c r="C4" s="2" t="str">
        <x:v>Implemented</x:v>
      </x:c>
      <x:c r="D4" s="2" t="str">
        <x:v>Planned</x:v>
      </x:c>
      <x:c r="E4" s="2" t="str">
        <x:v>Protect</x:v>
      </x:c>
    </x:row>
    <x:row r="5">
      <x:c r="A5" s="2" t="n">
        <x:v>3</x:v>
      </x:c>
      <x:c r="B5" s="2" t="str">
        <x:v>Low</x:v>
      </x:c>
      <x:c r="C5" s="2" t="str">
        <x:v>Accepted</x:v>
      </x:c>
      <x:c r="D5" s="2" t="str">
        <x:v>Missing</x:v>
      </x:c>
      <x:c r="E5" s="2" t="str">
        <x:v>Detect</x:v>
      </x:c>
    </x:row>
    <x:row r="6">
      <x:c r="A6" s="2" t="n">
        <x:v>4</x:v>
      </x:c>
      <x:c r="B6" s="2"/>
      <x:c r="C6" s="2" t="str">
        <x:v>Blocked</x:v>
      </x:c>
      <x:c r="D6" s="2" t="str">
        <x:v>Not Applicable</x:v>
      </x:c>
      <x:c r="E6" s="2" t="str">
        <x:v>Respond</x:v>
      </x:c>
    </x:row>
    <x:row r="7">
      <x:c r="A7" s="2"/>
      <x:c r="B7" s="2"/>
      <x:c r="C7" s="2"/>
      <x:c r="D7" s="2"/>
      <x:c r="E7" s="2" t="str">
        <x:v>Recover</x:v>
      </x:c>
    </x:row>
  </x:sheetData>
  <x:pageMargins left="0.7" right="0.7" top="0.75" bottom="0.75" header="0.3" footer="0.3"/>
</x:worksheet>
</file>