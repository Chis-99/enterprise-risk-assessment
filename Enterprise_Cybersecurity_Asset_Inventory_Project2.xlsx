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cc76107c1ee4906" /></Relationships>
</file>

<file path=xl/workbook.xml><?xml version="1.0" encoding="utf-8"?>
<x:workbook xmlns:x="http://schemas.openxmlformats.org/spreadsheetml/2006/main">
  <x:sheets>
    <x:sheet xmlns:r="http://schemas.openxmlformats.org/officeDocument/2006/relationships" name="Executive Summary" sheetId="1" r:id="R18a2cad4053f411f"/>
    <x:sheet xmlns:r="http://schemas.openxmlformats.org/officeDocument/2006/relationships" name="Business Context" sheetId="2" r:id="R9a8b5b65eb6d42ec"/>
    <x:sheet xmlns:r="http://schemas.openxmlformats.org/officeDocument/2006/relationships" name="Asset Inventory" sheetId="3" r:id="Rc57f7f8fc4364df8"/>
    <x:sheet xmlns:r="http://schemas.openxmlformats.org/officeDocument/2006/relationships" name="Business Services" sheetId="4" r:id="R7889c459940a4a97"/>
    <x:sheet xmlns:r="http://schemas.openxmlformats.org/officeDocument/2006/relationships" name="Crown Jewels" sheetId="5" r:id="R4a28e05783cb4509"/>
    <x:sheet xmlns:r="http://schemas.openxmlformats.org/officeDocument/2006/relationships" name="Methodology" sheetId="6" r:id="Rc5db6a4dba014fc3"/>
    <x:sheet xmlns:r="http://schemas.openxmlformats.org/officeDocument/2006/relationships" name="References" sheetId="7" r:id="R036d475380264a67"/>
    <x:sheet xmlns:r="http://schemas.openxmlformats.org/officeDocument/2006/relationships" name="Lists" sheetId="8" r:id="Rf76a125e353243b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25">
    <x:font>
      <x:sz val="11"/>
      <x:name val="Carlito"/>
    </x:font>
    <x:font>
      <x:sz val="10"/>
      <x:name val="Aptos"/>
    </x:font>
    <x:font>
      <x:b/>
      <x:sz val="10"/>
      <x:color rgb="FFFFFFFF"/>
      <x:name val="Aptos"/>
    </x:font>
    <x:font>
      <x:b/>
      <x:sz val="18"/>
      <x:color rgb="FFFFFFFF"/>
      <x:name val="Aptos Display"/>
    </x:font>
    <x:font>
      <x:i/>
      <x:sz val="10"/>
      <x:color rgb="FF6D6772"/>
      <x:name val="Carlito"/>
    </x:font>
    <x:font>
      <x:sz val="10"/>
      <x:name val="Carlito"/>
    </x:font>
    <x:font>
      <x:b/>
      <x:sz val="10"/>
      <x:color rgb="FF2F2345"/>
      <x:name val="Carlito"/>
    </x:font>
    <x:font>
      <x:b/>
      <x:sz val="11"/>
      <x:color rgb="FFFFFFFF"/>
      <x:name val="Carlito"/>
    </x:font>
    <x:font>
      <x:sz val="9"/>
      <x:name val="Carlito"/>
    </x:font>
    <x:font>
      <x:b/>
      <x:sz val="9"/>
      <x:color rgb="FFFFFFFF"/>
      <x:name val="Carlito"/>
    </x:font>
    <x:font>
      <x:b/>
      <x:sz val="9"/>
      <x:color rgb="FFFFFFFF"/>
      <x:name val="Aptos"/>
    </x:font>
    <x:font>
      <x:sz val="9"/>
      <x:color rgb="FF24212A"/>
      <x:name val="Aptos"/>
    </x:font>
    <x:font>
      <x:b/>
      <x:sz val="10"/>
      <x:color rgb="FFFFFFFF"/>
      <x:name val="Carlito"/>
    </x:font>
    <x:font>
      <x:b/>
      <x:sz val="20"/>
      <x:color rgb="FF2F2345"/>
      <x:name val="Carlito"/>
    </x:font>
    <x:font>
      <x:b/>
      <x:sz val="12"/>
      <x:color rgb="FFFFFFFF"/>
      <x:name val="Carlito"/>
    </x:font>
    <x:font>
      <x:b/>
      <x:sz val="9"/>
      <x:color rgb="FF2F2345"/>
      <x:name val="Carlito"/>
    </x:font>
    <x:font>
      <x:b/>
      <x:sz val="18"/>
      <x:color rgb="FF24212A"/>
      <x:name val="Aptos"/>
    </x:font>
    <x:font>
      <x:sz val="11"/>
      <x:color rgb="FF24212A"/>
      <x:name val="Aptos"/>
    </x:font>
    <x:font>
      <x:i/>
      <x:sz val="10"/>
      <x:color rgb="FF24212A"/>
      <x:name val="Aptos"/>
    </x:font>
    <x:font>
      <x:b/>
      <x:sz val="11"/>
      <x:color rgb="FF24212A"/>
      <x:name val="Aptos"/>
    </x:font>
    <x:font>
      <x:b/>
      <x:sz val="20"/>
      <x:color rgb="FF24212A"/>
      <x:name val="Aptos"/>
    </x:font>
    <x:font>
      <x:b/>
      <x:sz val="12"/>
      <x:color rgb="FF24212A"/>
      <x:name val="Aptos"/>
    </x:font>
    <x:font>
      <x:sz val="10"/>
      <x:color rgb="FF24212A"/>
      <x:name val="Aptos"/>
    </x:font>
    <x:font>
      <x:b/>
      <x:sz val="9"/>
      <x:color rgb="FF24212A"/>
      <x:name val="Aptos"/>
    </x:font>
    <x:font>
      <x:b/>
      <x:sz val="10"/>
      <x:color rgb="FF24212A"/>
      <x:name val="Aptos"/>
    </x:font>
  </x:fonts>
  <x:fills count="8">
    <x:fill>
      <x:patternFill patternType="none"/>
    </x:fill>
    <x:fill>
      <x:patternFill patternType="gray125"/>
    </x:fill>
    <x:fill>
      <x:patternFill patternType="solid">
        <x:fgColor rgb="FF3F315B"/>
      </x:patternFill>
    </x:fill>
    <x:fill>
      <x:patternFill patternType="solid">
        <x:fgColor rgb="FF2F2345"/>
      </x:patternFill>
    </x:fill>
    <x:fill>
      <x:patternFill patternType="solid">
        <x:fgColor rgb="FFEDE7F6"/>
      </x:patternFill>
    </x:fill>
    <x:fill>
      <x:patternFill patternType="solid">
        <x:fgColor rgb="FF5B3F8C"/>
      </x:patternFill>
    </x:fill>
    <x:fill>
      <x:patternFill patternType="solid">
        <x:fgColor rgb="FFF8F6FB"/>
      </x:patternFill>
    </x:fill>
    <x:fill>
      <x:patternFill patternType="solid">
        <x:fgColor rgb="FFFFFFFF"/>
      </x:patternFill>
    </x:fill>
  </x:fills>
  <x:borders count="2">
    <x:border/>
    <x:border/>
  </x:borders>
  <x:cellStyleXfs count="1">
    <x:xf numFmtId="0" fontId="0" fillId="0" borderId="0"/>
  </x:cellStyleXfs>
  <x:cellXfs count="162">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2" borderId="1" xfId="0" applyNumberFormat="1" applyFont="1" applyFill="1" applyBorder="1"/>
    <x:xf numFmtId="0" fontId="2" fillId="2" borderId="1"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vertical="center"/>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vertical="center"/>
    </x:xf>
    <x:xf numFmtId="0" fontId="0" fillId="4" borderId="0" xfId="0" applyNumberFormat="1" applyFont="1" applyFill="1" applyBorder="1"/>
    <x:xf numFmtId="0" fontId="4" fillId="4" borderId="0" xfId="0" applyNumberFormat="1" applyFont="1" applyFill="1" applyBorder="1"/>
    <x:xf numFmtId="0" fontId="0" fillId="4" borderId="1" xfId="0" applyNumberFormat="1" applyFont="1" applyFill="1" applyBorder="1"/>
    <x:xf numFmtId="0" fontId="4" fillId="4" borderId="1"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5" fillId="4" borderId="1" xfId="0" applyNumberFormat="1" applyFont="1" applyFill="1" applyBorder="1" applyAlignment="1">
      <x:alignment vertical="top" wrapText="1"/>
    </x:xf>
    <x:xf numFmtId="0" fontId="6" fillId="4" borderId="1" xfId="0" applyNumberFormat="1" applyFont="1" applyFill="1" applyBorder="1" applyAlignment="1">
      <x:alignment vertical="top" wrapText="1"/>
    </x:xf>
    <x:xf numFmtId="0" fontId="0" fillId="5" borderId="0" xfId="0" applyNumberFormat="1" applyFont="1" applyFill="1" applyBorder="1"/>
    <x:xf numFmtId="0" fontId="7" fillId="5" borderId="0" xfId="0" applyNumberFormat="1" applyFont="1" applyFill="1" applyBorder="1"/>
    <x:xf numFmtId="0" fontId="0" fillId="5" borderId="1" xfId="0" applyNumberFormat="1" applyFont="1" applyFill="1" applyBorder="1"/>
    <x:xf numFmtId="0" fontId="7" fillId="5" borderId="1"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top"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vertical="top"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8" fillId="0" borderId="1" xfId="0" applyNumberFormat="1" applyFont="1" applyFill="1" applyBorder="1"/>
    <x:xf numFmtId="0" fontId="8" fillId="0" borderId="1" xfId="0" applyNumberFormat="1" applyFont="1" applyFill="1" applyBorder="1" applyAlignment="1">
      <x:alignment wrapText="1"/>
    </x:xf>
    <x:xf numFmtId="0" fontId="8" fillId="0" borderId="1" xfId="0" applyNumberFormat="1" applyFont="1" applyFill="1" applyBorder="1" applyAlignment="1">
      <x:alignment vertical="top" wrapText="1"/>
    </x:xf>
    <x:xf numFmtId="0" fontId="8" fillId="2" borderId="0" xfId="0" applyNumberFormat="1" applyFont="1" applyFill="1" applyBorder="1" applyAlignment="1">
      <x:alignment vertical="top" wrapText="1"/>
    </x:xf>
    <x:xf numFmtId="0" fontId="9" fillId="2" borderId="0" xfId="0" applyNumberFormat="1" applyFont="1" applyFill="1" applyBorder="1" applyAlignment="1">
      <x:alignment vertical="top" wrapText="1"/>
    </x:xf>
    <x:xf numFmtId="0" fontId="8" fillId="2" borderId="1" xfId="0" applyNumberFormat="1" applyFont="1" applyFill="1" applyBorder="1" applyAlignment="1">
      <x:alignment vertical="top" wrapText="1"/>
    </x:xf>
    <x:xf numFmtId="0" fontId="9" fillId="2" borderId="1" xfId="0" applyNumberFormat="1" applyFont="1" applyFill="1" applyBorder="1" applyAlignment="1">
      <x:alignment vertical="top" wrapText="1"/>
    </x:xf>
    <x:xf numFmtId="0" fontId="0" fillId="2" borderId="0" xfId="0" applyNumberFormat="1" applyFont="1" applyFill="1" applyBorder="1"/>
    <x:xf numFmtId="0" fontId="10" fillId="2" borderId="0" xfId="0" applyNumberFormat="1" applyFont="1" applyFill="1" applyBorder="1"/>
    <x:xf numFmtId="0" fontId="10" fillId="2" borderId="0" xfId="0" applyNumberFormat="1" applyFont="1" applyFill="1" applyBorder="1" applyAlignment="1">
      <x:alignment wrapText="1"/>
    </x:xf>
    <x:xf numFmtId="0" fontId="10" fillId="2" borderId="0" xfId="0" applyNumberFormat="1" applyFont="1" applyFill="1" applyBorder="1" applyAlignment="1">
      <x:alignment horizontal="center" wrapText="1"/>
    </x:xf>
    <x:xf numFmtId="0" fontId="10" fillId="2" borderId="0" xfId="0" applyNumberFormat="1" applyFont="1" applyFill="1" applyBorder="1" applyAlignment="1">
      <x:alignment horizontal="center" vertical="center" wrapText="1"/>
    </x:xf>
    <x:xf numFmtId="0" fontId="0" fillId="2" borderId="1" xfId="0" applyNumberFormat="1" applyFont="1" applyFill="1" applyBorder="1"/>
    <x:xf numFmtId="0" fontId="10" fillId="2" borderId="1" xfId="0" applyNumberFormat="1" applyFont="1" applyFill="1" applyBorder="1"/>
    <x:xf numFmtId="0" fontId="10" fillId="2" borderId="1" xfId="0" applyNumberFormat="1" applyFont="1" applyFill="1" applyBorder="1" applyAlignment="1">
      <x:alignment wrapText="1"/>
    </x:xf>
    <x:xf numFmtId="0" fontId="10" fillId="2" borderId="1" xfId="0" applyNumberFormat="1" applyFont="1" applyFill="1" applyBorder="1" applyAlignment="1">
      <x:alignment horizontal="center" wrapText="1"/>
    </x:xf>
    <x:xf numFmtId="0" fontId="10" fillId="2" borderId="1" xfId="0" applyNumberFormat="1" applyFont="1" applyFill="1" applyBorder="1" applyAlignment="1">
      <x:alignment horizontal="center" vertical="center"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0" fontId="11" fillId="0" borderId="1" xfId="0" applyNumberFormat="1" applyFont="1" applyFill="1" applyBorder="1"/>
    <x:xf numFmtId="0" fontId="11" fillId="0" borderId="1" xfId="0" applyNumberFormat="1" applyFont="1" applyFill="1" applyBorder="1" applyAlignment="1">
      <x:alignment wrapText="1"/>
    </x:xf>
    <x:xf numFmtId="0" fontId="11" fillId="0" borderId="1" xfId="0" applyNumberFormat="1" applyFont="1" applyFill="1" applyBorder="1" applyAlignment="1">
      <x:alignment vertical="top" wrapText="1"/>
    </x:xf>
    <x:xf numFmtId="0" fontId="9" fillId="2" borderId="0" xfId="0" applyNumberFormat="1" applyFont="1" applyFill="1" applyBorder="1"/>
    <x:xf numFmtId="0" fontId="9" fillId="2" borderId="0" xfId="0" applyNumberFormat="1" applyFont="1" applyFill="1" applyBorder="1" applyAlignment="1">
      <x:alignment wrapText="1"/>
    </x:xf>
    <x:xf numFmtId="0" fontId="9" fillId="2" borderId="0" xfId="0" applyNumberFormat="1" applyFont="1" applyFill="1" applyBorder="1" applyAlignment="1">
      <x:alignment horizontal="center" wrapText="1"/>
    </x:xf>
    <x:xf numFmtId="0" fontId="9" fillId="2" borderId="0" xfId="0" applyNumberFormat="1" applyFont="1" applyFill="1" applyBorder="1" applyAlignment="1">
      <x:alignment horizontal="center" vertical="center" wrapText="1"/>
    </x:xf>
    <x:xf numFmtId="0" fontId="9" fillId="2" borderId="1" xfId="0" applyNumberFormat="1" applyFont="1" applyFill="1" applyBorder="1"/>
    <x:xf numFmtId="0" fontId="9" fillId="2" borderId="1" xfId="0" applyNumberFormat="1" applyFont="1" applyFill="1" applyBorder="1" applyAlignment="1">
      <x:alignment wrapText="1"/>
    </x:xf>
    <x:xf numFmtId="0" fontId="9" fillId="2" borderId="1" xfId="0" applyNumberFormat="1" applyFont="1" applyFill="1" applyBorder="1" applyAlignment="1">
      <x:alignment horizontal="center" wrapText="1"/>
    </x:xf>
    <x:xf numFmtId="0" fontId="9" fillId="2" borderId="1" xfId="0" applyNumberFormat="1" applyFont="1" applyFill="1" applyBorder="1" applyAlignment="1">
      <x:alignment horizontal="center" vertical="center" wrapText="1"/>
    </x:xf>
    <x:xf numFmtId="0" fontId="7" fillId="2" borderId="0" xfId="0" applyNumberFormat="1" applyFont="1" applyFill="1" applyBorder="1"/>
    <x:xf numFmtId="0" fontId="7" fillId="2" borderId="0" xfId="0" applyNumberFormat="1" applyFont="1" applyFill="1" applyBorder="1" applyAlignment="1">
      <x:alignment horizontal="center"/>
    </x:xf>
    <x:xf numFmtId="0" fontId="7" fillId="2" borderId="1" xfId="0" applyNumberFormat="1" applyFont="1" applyFill="1" applyBorder="1"/>
    <x:xf numFmtId="0" fontId="7" fillId="2"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0" fontId="0" fillId="6" borderId="1" xfId="0" applyNumberFormat="1" applyFont="1" applyFill="1" applyBorder="1" applyAlignment="1">
      <x:alignment wrapText="1"/>
    </x:xf>
    <x:xf numFmtId="0" fontId="0" fillId="6" borderId="1" xfId="0" applyNumberFormat="1" applyFont="1" applyFill="1" applyBorder="1" applyAlignment="1">
      <x:alignment vertical="top" wrapText="1"/>
    </x:xf>
    <x:xf numFmtId="0" fontId="12" fillId="2" borderId="0" xfId="0" applyNumberFormat="1" applyFont="1" applyFill="1" applyBorder="1"/>
    <x:xf numFmtId="0" fontId="12" fillId="2" borderId="0" xfId="0" applyNumberFormat="1" applyFont="1" applyFill="1" applyBorder="1" applyAlignment="1">
      <x:alignment horizontal="center"/>
    </x:xf>
    <x:xf numFmtId="0" fontId="12" fillId="2" borderId="0" xfId="0" applyNumberFormat="1" applyFont="1" applyFill="1" applyBorder="1" applyAlignment="1">
      <x:alignment horizontal="center" vertical="center"/>
    </x:xf>
    <x:xf numFmtId="0" fontId="12" fillId="2" borderId="1" xfId="0" applyNumberFormat="1" applyFont="1" applyFill="1" applyBorder="1"/>
    <x:xf numFmtId="0" fontId="12" fillId="2" borderId="1" xfId="0" applyNumberFormat="1" applyFont="1" applyFill="1" applyBorder="1" applyAlignment="1">
      <x:alignment horizontal="center"/>
    </x:xf>
    <x:xf numFmtId="0" fontId="12" fillId="2" borderId="1" xfId="0" applyNumberFormat="1" applyFont="1" applyFill="1" applyBorder="1" applyAlignment="1">
      <x:alignment horizontal="center" vertical="center"/>
    </x:xf>
    <x:xf numFmtId="0" fontId="7" fillId="2" borderId="0" xfId="0" applyNumberFormat="1" applyFont="1" applyFill="1" applyBorder="1" applyAlignment="1">
      <x:alignment horizontal="center" vertical="center"/>
    </x:xf>
    <x:xf numFmtId="0" fontId="7" fillId="2" borderId="1" xfId="0" applyNumberFormat="1" applyFont="1" applyFill="1" applyBorder="1" applyAlignment="1">
      <x:alignment horizontal="center" vertical="center"/>
    </x:xf>
    <x:xf numFmtId="0" fontId="13" fillId="6" borderId="0" xfId="0" applyNumberFormat="1" applyFont="1" applyFill="1" applyBorder="1"/>
    <x:xf numFmtId="0" fontId="13" fillId="6" borderId="0" xfId="0" applyNumberFormat="1" applyFont="1" applyFill="1" applyBorder="1" applyAlignment="1">
      <x:alignment horizontal="center"/>
    </x:xf>
    <x:xf numFmtId="0" fontId="13" fillId="6" borderId="0" xfId="0" applyNumberFormat="1" applyFont="1" applyFill="1" applyBorder="1" applyAlignment="1">
      <x:alignment horizontal="center" vertical="center"/>
    </x:xf>
    <x:xf numFmtId="0" fontId="13" fillId="6" borderId="1" xfId="0" applyNumberFormat="1" applyFont="1" applyFill="1" applyBorder="1"/>
    <x:xf numFmtId="0" fontId="13" fillId="6" borderId="1" xfId="0" applyNumberFormat="1" applyFont="1" applyFill="1" applyBorder="1" applyAlignment="1">
      <x:alignment horizontal="center"/>
    </x:xf>
    <x:xf numFmtId="0" fontId="13" fillId="6" borderId="1" xfId="0" applyNumberFormat="1" applyFont="1" applyFill="1" applyBorder="1" applyAlignment="1">
      <x:alignment horizontal="center" vertical="center"/>
    </x:xf>
    <x:xf numFmtId="0" fontId="14" fillId="5" borderId="0" xfId="0" applyNumberFormat="1" applyFont="1" applyFill="1" applyBorder="1"/>
    <x:xf numFmtId="0" fontId="14" fillId="5" borderId="1" xfId="0" applyNumberFormat="1" applyFont="1" applyFill="1" applyBorder="1"/>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5" fillId="7" borderId="0" xfId="0" applyNumberFormat="1" applyFont="1" applyFill="1" applyBorder="1" applyAlignment="1">
      <x:alignment vertical="top" wrapText="1"/>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wrapText="1"/>
    </x:xf>
    <x:xf numFmtId="0" fontId="5" fillId="7"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8" fillId="4" borderId="0" xfId="0" applyNumberFormat="1" applyFont="1" applyFill="1" applyBorder="1" applyAlignment="1">
      <x:alignment vertical="top" wrapText="1"/>
    </x:xf>
    <x:xf numFmtId="0" fontId="15" fillId="4" borderId="0" xfId="0" applyNumberFormat="1" applyFont="1" applyFill="1" applyBorder="1" applyAlignment="1">
      <x:alignment vertical="top" wrapText="1"/>
    </x:xf>
    <x:xf numFmtId="0" fontId="8" fillId="4" borderId="1" xfId="0" applyNumberFormat="1" applyFont="1" applyFill="1" applyBorder="1" applyAlignment="1">
      <x:alignment vertical="top" wrapText="1"/>
    </x:xf>
    <x:xf numFmtId="0" fontId="15" fillId="4" borderId="1" xfId="0" applyNumberFormat="1" applyFont="1" applyFill="1" applyBorder="1" applyAlignment="1">
      <x:alignment vertical="top" wrapText="1"/>
    </x:xf>
    <x:xf numFmtId="0" fontId="16" fillId="3" borderId="0" xfId="0" applyNumberFormat="1" applyFont="1" applyFill="1" applyBorder="1" applyAlignment="1">
      <x:alignment vertical="center"/>
    </x:xf>
    <x:xf numFmtId="0" fontId="17" fillId="0" borderId="0" xfId="0" applyNumberFormat="1" applyFont="1" applyFill="1" applyBorder="1"/>
    <x:xf numFmtId="0" fontId="18" fillId="4" borderId="0" xfId="0" applyNumberFormat="1" applyFont="1" applyFill="1" applyBorder="1"/>
    <x:xf numFmtId="0" fontId="19" fillId="2" borderId="0" xfId="0" applyNumberFormat="1" applyFont="1" applyFill="1" applyBorder="1" applyAlignment="1">
      <x:alignment horizontal="center" vertical="center"/>
    </x:xf>
    <x:xf numFmtId="0" fontId="20" fillId="6" borderId="0" xfId="0" applyNumberFormat="1" applyFont="1" applyFill="1" applyBorder="1" applyAlignment="1">
      <x:alignment horizontal="center" vertical="center"/>
    </x:xf>
    <x:xf numFmtId="0" fontId="21" fillId="5" borderId="0" xfId="0" applyNumberFormat="1" applyFont="1" applyFill="1" applyBorder="1"/>
    <x:xf numFmtId="0" fontId="22" fillId="7" borderId="0" xfId="0" applyNumberFormat="1" applyFont="1" applyFill="1" applyBorder="1" applyAlignment="1">
      <x:alignment vertical="top" wrapText="1"/>
    </x:xf>
    <x:xf numFmtId="0" fontId="19" fillId="2" borderId="0" xfId="0" applyNumberFormat="1" applyFont="1" applyFill="1" applyBorder="1" applyAlignment="1">
      <x:alignment horizontal="center"/>
    </x:xf>
    <x:xf numFmtId="200" fontId="17" fillId="0" borderId="0" xfId="0" applyNumberFormat="1" applyFont="1" applyFill="1" applyBorder="1"/>
    <x:xf numFmtId="0" fontId="23" fillId="4" borderId="0" xfId="0" applyNumberFormat="1" applyFont="1" applyFill="1" applyBorder="1" applyAlignment="1">
      <x:alignment vertical="top" wrapText="1"/>
    </x:xf>
    <x:xf numFmtId="0" fontId="16" fillId="3" borderId="1" xfId="0" applyNumberFormat="1" applyFont="1" applyFill="1" applyBorder="1" applyAlignment="1">
      <x:alignment vertical="center"/>
    </x:xf>
    <x:xf numFmtId="0" fontId="17" fillId="0" borderId="1" xfId="0" applyNumberFormat="1" applyFont="1" applyFill="1" applyBorder="1"/>
    <x:xf numFmtId="0" fontId="18" fillId="4" borderId="1" xfId="0" applyNumberFormat="1" applyFont="1" applyFill="1" applyBorder="1"/>
    <x:xf numFmtId="0" fontId="19" fillId="2" borderId="1" xfId="0" applyNumberFormat="1" applyFont="1" applyFill="1" applyBorder="1" applyAlignment="1">
      <x:alignment horizontal="center" vertical="center"/>
    </x:xf>
    <x:xf numFmtId="0" fontId="20" fillId="6" borderId="1" xfId="0" applyNumberFormat="1" applyFont="1" applyFill="1" applyBorder="1" applyAlignment="1">
      <x:alignment horizontal="center" vertical="center"/>
    </x:xf>
    <x:xf numFmtId="0" fontId="21" fillId="5" borderId="1" xfId="0" applyNumberFormat="1" applyFont="1" applyFill="1" applyBorder="1"/>
    <x:xf numFmtId="0" fontId="22" fillId="7" borderId="1" xfId="0" applyNumberFormat="1" applyFont="1" applyFill="1" applyBorder="1" applyAlignment="1">
      <x:alignment vertical="top" wrapText="1"/>
    </x:xf>
    <x:xf numFmtId="0" fontId="19" fillId="2" borderId="1" xfId="0" applyNumberFormat="1" applyFont="1" applyFill="1" applyBorder="1" applyAlignment="1">
      <x:alignment horizontal="center"/>
    </x:xf>
    <x:xf numFmtId="200" fontId="17" fillId="0" borderId="1" xfId="0" applyNumberFormat="1" applyFont="1" applyFill="1" applyBorder="1"/>
    <x:xf numFmtId="0" fontId="23" fillId="4" borderId="1" xfId="0" applyNumberFormat="1" applyFont="1" applyFill="1" applyBorder="1" applyAlignment="1">
      <x:alignment vertical="top" wrapText="1"/>
    </x:xf>
    <x:xf numFmtId="0" fontId="24" fillId="4" borderId="0" xfId="0" applyNumberFormat="1" applyFont="1" applyFill="1" applyBorder="1" applyAlignment="1">
      <x:alignment vertical="top" wrapText="1"/>
    </x:xf>
    <x:xf numFmtId="0" fontId="22" fillId="0" borderId="0" xfId="0" applyNumberFormat="1" applyFont="1" applyFill="1" applyBorder="1" applyAlignment="1">
      <x:alignment vertical="top" wrapText="1"/>
    </x:xf>
    <x:xf numFmtId="0" fontId="19" fillId="5" borderId="0" xfId="0" applyNumberFormat="1" applyFont="1" applyFill="1" applyBorder="1"/>
    <x:xf numFmtId="0" fontId="22" fillId="6" borderId="0" xfId="0" applyNumberFormat="1" applyFont="1" applyFill="1" applyBorder="1" applyAlignment="1">
      <x:alignment vertical="top" wrapText="1"/>
    </x:xf>
    <x:xf numFmtId="0" fontId="23" fillId="2" borderId="0" xfId="0" applyNumberFormat="1" applyFont="1" applyFill="1" applyBorder="1" applyAlignment="1">
      <x:alignment vertical="top" wrapText="1"/>
    </x:xf>
    <x:xf numFmtId="0" fontId="24" fillId="4" borderId="1" xfId="0" applyNumberFormat="1" applyFont="1" applyFill="1" applyBorder="1" applyAlignment="1">
      <x:alignment vertical="top" wrapText="1"/>
    </x:xf>
    <x:xf numFmtId="0" fontId="22" fillId="0" borderId="1" xfId="0" applyNumberFormat="1" applyFont="1" applyFill="1" applyBorder="1" applyAlignment="1">
      <x:alignment vertical="top" wrapText="1"/>
    </x:xf>
    <x:xf numFmtId="0" fontId="19" fillId="5" borderId="1" xfId="0" applyNumberFormat="1" applyFont="1" applyFill="1" applyBorder="1"/>
    <x:xf numFmtId="0" fontId="22" fillId="6" borderId="1" xfId="0" applyNumberFormat="1" applyFont="1" applyFill="1" applyBorder="1" applyAlignment="1">
      <x:alignment vertical="top" wrapText="1"/>
    </x:xf>
    <x:xf numFmtId="0" fontId="23" fillId="2" borderId="1" xfId="0" applyNumberFormat="1" applyFont="1" applyFill="1" applyBorder="1" applyAlignment="1">
      <x:alignment vertical="top" wrapText="1"/>
    </x:xf>
    <x:xf numFmtId="0" fontId="23" fillId="2" borderId="0" xfId="0" applyNumberFormat="1" applyFont="1" applyFill="1" applyBorder="1" applyAlignment="1">
      <x:alignment horizontal="center" vertical="center" wrapText="1"/>
    </x:xf>
    <x:xf numFmtId="0" fontId="23" fillId="2" borderId="1" xfId="0" applyNumberFormat="1" applyFont="1" applyFill="1" applyBorder="1" applyAlignment="1">
      <x:alignment horizontal="center" vertical="center" wrapText="1"/>
    </x:xf>
    <x:xf numFmtId="0" fontId="17" fillId="0" borderId="0" xfId="0" applyNumberFormat="1" applyFont="1" applyFill="1" applyBorder="1" applyAlignment="1">
      <x:alignment vertical="top" wrapText="1"/>
    </x:xf>
    <x:xf numFmtId="0" fontId="17" fillId="6" borderId="0" xfId="0" applyNumberFormat="1" applyFont="1" applyFill="1" applyBorder="1" applyAlignment="1">
      <x:alignment vertical="top" wrapText="1"/>
    </x:xf>
    <x:xf numFmtId="0" fontId="17" fillId="0" borderId="1" xfId="0" applyNumberFormat="1" applyFont="1" applyFill="1" applyBorder="1" applyAlignment="1">
      <x:alignment vertical="top" wrapText="1"/>
    </x:xf>
    <x:xf numFmtId="0" fontId="17" fillId="6" borderId="1" xfId="0" applyNumberFormat="1" applyFont="1" applyFill="1" applyBorder="1" applyAlignment="1">
      <x:alignment vertical="top" wrapText="1"/>
    </x:xf>
    <x:xf numFmtId="0" fontId="24" fillId="2" borderId="0" xfId="0" applyNumberFormat="1" applyFont="1" applyFill="1" applyBorder="1" applyAlignment="1">
      <x:alignment horizontal="center" vertical="center"/>
    </x:xf>
    <x:xf numFmtId="0" fontId="24" fillId="2" borderId="1" xfId="0" applyNumberFormat="1" applyFont="1" applyFill="1" applyBorder="1" applyAlignment="1">
      <x:alignment horizontal="center" vertical="center"/>
    </x:xf>
    <x:xf numFmtId="0" fontId="2" fillId="2" borderId="0" xfId="0" applyNumberFormat="1" applyFont="1" applyFill="1" applyBorder="1" applyAlignment="1">
      <x:alignment horizontal="center" vertical="center"/>
    </x:xf>
    <x:xf numFmtId="0" fontId="2" fillId="2" borderId="1" xfId="0" applyNumberFormat="1" applyFont="1" applyFill="1" applyBorder="1" applyAlignment="1">
      <x:alignment horizontal="center" vertical="center"/>
    </x:xf>
    <x:xf numFmtId="0" fontId="2" fillId="5" borderId="0" xfId="0" applyNumberFormat="1" applyFont="1" applyFill="1" applyBorder="1"/>
    <x:xf numFmtId="0" fontId="2" fillId="5" borderId="1"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applyAlignment="1">
      <x:alignment horizontal="center"/>
    </x:xf>
    <x:xf numFmtId="201" fontId="11" fillId="0" borderId="0" xfId="0" applyNumberFormat="1" applyFont="1" applyFill="1" applyBorder="1" applyAlignment="1">
      <x:alignment vertical="top" wrapText="1"/>
    </x:xf>
    <x:xf numFmtId="201" fontId="17" fillId="0" borderId="0" xfId="0" applyNumberFormat="1" applyFont="1" applyFill="1" applyBorder="1"/>
  </x:cellXfs>
  <x:cellStyles count="1">
    <x:cellStyle name="Normal" xfId="0"/>
  </x:cellStyles>
  <x:dxfs count="13">
    <x:dxf>
      <x:font>
        <x:b/>
      </x:font>
      <x:fill>
        <x:patternFill patternType="solid">
          <x:bgColor rgb="FFF4CCCC"/>
        </x:patternFill>
      </x:fill>
    </x:dxf>
    <x:dxf>
      <x:font>
        <x:b/>
      </x:font>
      <x:fill>
        <x:patternFill patternType="solid">
          <x:bgColor rgb="FFFCE4D6"/>
        </x:patternFill>
      </x:fill>
    </x:dxf>
    <x:dxf>
      <x:font>
        <x:b/>
      </x:font>
      <x:fill>
        <x:patternFill patternType="solid">
          <x:bgColor rgb="FFFFF2CC"/>
        </x:patternFill>
      </x:fill>
    </x:dxf>
    <x:dxf>
      <x:font>
        <x:b/>
      </x:font>
      <x:fill>
        <x:patternFill patternType="solid">
          <x:bgColor rgb="FFD9EAD3"/>
        </x:patternFill>
      </x:fill>
    </x:dxf>
    <x:dxf>
      <x:font>
        <x:b/>
      </x:font>
      <x:fill>
        <x:patternFill patternType="solid">
          <x:bgColor rgb="FFD9EAD3"/>
        </x:patternFill>
      </x:fill>
    </x:dxf>
    <x:dxf>
      <x:font>
        <x:b/>
      </x:font>
      <x:fill>
        <x:patternFill patternType="solid">
          <x:bgColor rgb="FFD9EAF7"/>
        </x:patternFill>
      </x:fill>
    </x:dxf>
    <x:dxf>
      <x:font>
        <x:b/>
      </x:font>
      <x:fill>
        <x:patternFill patternType="solid">
          <x:bgColor rgb="FFFFF2CC"/>
        </x:patternFill>
      </x:fill>
    </x:dxf>
    <x:dxf>
      <x:font>
        <x:b/>
      </x:font>
      <x:fill>
        <x:patternFill patternType="solid">
          <x:bgColor rgb="FFF4CCCC"/>
        </x:patternFill>
      </x:fill>
    </x:dxf>
    <x:dxf>
      <x:font>
        <x:b/>
      </x:font>
      <x:fill>
        <x:patternFill patternType="solid">
          <x:bgColor rgb="FFFCE4D6"/>
        </x:patternFill>
      </x:fill>
    </x:dxf>
    <x:dxf>
      <x:font>
        <x:b/>
      </x:font>
      <x:fill>
        <x:patternFill patternType="solid">
          <x:bgColor rgb="FFF4CCCC"/>
        </x:patternFill>
      </x:fill>
    </x:dxf>
    <x:dxf>
      <x:font>
        <x:b/>
      </x:font>
      <x:fill>
        <x:patternFill patternType="solid">
          <x:bgColor rgb="FFFCE4D6"/>
        </x:patternFill>
      </x:fill>
    </x:dxf>
    <x:dxf>
      <x:font>
        <x:b/>
      </x:font>
      <x:fill>
        <x:patternFill patternType="solid">
          <x:bgColor rgb="FFFFF2CC"/>
        </x:patternFill>
      </x:fill>
    </x:dxf>
    <x:dxf>
      <x:font>
        <x:b/>
      </x:font>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c4b0b76148040ca" /><Relationship Type="http://schemas.openxmlformats.org/officeDocument/2006/relationships/theme" Target="/xl/theme/theme1.xml" Id="Rc672e28d32f649ce" /><Relationship Type="http://schemas.openxmlformats.org/officeDocument/2006/relationships/sharedStrings" Target="/xl/sharedStrings.xml" Id="Re813656e0ad84028" /><Relationship Type="http://schemas.openxmlformats.org/officeDocument/2006/relationships/worksheet" Target="/xl/worksheets/sheet1.xml" Id="R18a2cad4053f411f" /><Relationship Type="http://schemas.openxmlformats.org/officeDocument/2006/relationships/worksheet" Target="/xl/worksheets/sheet2.xml" Id="R9a8b5b65eb6d42ec" /><Relationship Type="http://schemas.openxmlformats.org/officeDocument/2006/relationships/worksheet" Target="/xl/worksheets/sheet3.xml" Id="Rc57f7f8fc4364df8" /><Relationship Type="http://schemas.openxmlformats.org/officeDocument/2006/relationships/worksheet" Target="/xl/worksheets/sheet4.xml" Id="R7889c459940a4a97" /><Relationship Type="http://schemas.openxmlformats.org/officeDocument/2006/relationships/worksheet" Target="/xl/worksheets/sheet5.xml" Id="R4a28e05783cb4509" /><Relationship Type="http://schemas.openxmlformats.org/officeDocument/2006/relationships/worksheet" Target="/xl/worksheets/sheet6.xml" Id="Rc5db6a4dba014fc3" /><Relationship Type="http://schemas.openxmlformats.org/officeDocument/2006/relationships/worksheet" Target="/xl/worksheets/sheet7.xml" Id="R036d475380264a67" /><Relationship Type="http://schemas.openxmlformats.org/officeDocument/2006/relationships/worksheet" Target="/xl/worksheets/sheet8.xml" Id="Rf76a125e353243b0" /></Relationships>
</file>

<file path=xl/drawings/_rels/drawing1.xml.rels>&#65279;<?xml version="1.0" encoding="utf-8"?><Relationships xmlns="http://schemas.openxmlformats.org/package/2006/relationships"><Relationship Type="http://schemas.openxmlformats.org/officeDocument/2006/relationships/chart" Target="/xl/drawings/charts/chart1.xml" Id="Rdc4a1cfed18c46c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Asset Criticality Distribution</a:t>
            </a:r>
          </a:p>
        </c:rich>
      </c:tx>
    </c:title>
    <c:plotArea>
      <c:barChart>
        <c:barDir val="col"/>
        <c:varyColors val="0"/>
        <c:ser>
          <c:idx val="0"/>
          <c:order val="0"/>
          <c:tx>
            <c:v>Count</c:v>
          </c:tx>
          <c:cat>
            <c:strRef>
              <c:f>'Executive Summary'!$A$17:$A$20</c:f>
              <c:strCache>
                <c:ptCount val="0"/>
              </c:strCache>
            </c:strRef>
          </c:cat>
          <c:val>
            <c:numRef>
              <c:f>'Executive Summary'!$B$17:$B$20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17</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c4a1cfed18c46c2"/>
        </a:graphicData>
      </a:graphic>
    </xdr:graphicFrame>
    <xdr:clientData/>
  </xdr:twoCellAnchor>
</xdr:wsDr>
</file>

<file path=xl/tables/table1.xml><?xml version="1.0" encoding="utf-8"?>
<x:table xmlns:x="http://schemas.openxmlformats.org/spreadsheetml/2006/main" id="1" name="EnterpriseAssetInventory" displayName="EnterpriseAssetInventory" ref="A1:Y36" headerRowCount="1" totalsRowCount="0" totalsRowShown="0">
  <x:tableColumns count="25">
    <x:tableColumn id="1" name="Asset ID"/>
    <x:tableColumn id="2" name="Asset Name"/>
    <x:tableColumn id="3" name="Asset Category"/>
    <x:tableColumn id="4" name="Business Function"/>
    <x:tableColumn id="5" name="Asset Owner"/>
    <x:tableColumn id="6" name="Technical Owner"/>
    <x:tableColumn id="7" name="Location / Hosting"/>
    <x:tableColumn id="8" name="Platform / Vendor"/>
    <x:tableColumn id="9" name="Primary Data"/>
    <x:tableColumn id="10" name="Data Classification"/>
    <x:tableColumn id="11" name="Confidentiality"/>
    <x:tableColumn id="12" name="Integrity"/>
    <x:tableColumn id="13" name="Availability"/>
    <x:tableColumn id="14" name="Criticality Score"/>
    <x:tableColumn id="15" name="Criticality"/>
    <x:tableColumn id="16" name="Internet Exposure"/>
    <x:tableColumn id="17" name="Authentication"/>
    <x:tableColumn id="18" name="Backup / Recovery"/>
    <x:tableColumn id="19" name="Logging / Monitoring"/>
    <x:tableColumn id="20" name="Lifecycle"/>
    <x:tableColumn id="21" name="Key Dependencies"/>
    <x:tableColumn id="22" name="Security Posture"/>
    <x:tableColumn id="23" name="Known Concern / Observation"/>
    <x:tableColumn id="24" name="RTO (hrs)"/>
    <x:tableColumn id="25" name="RPO (hrs)"/>
  </x:tableColumns>
  <x:tableStyleInfo name="TableStyleMedium2" showFirstColumn="0" showLastColumn="0" showRowStripes="1" showColumnStripes="0"/>
</x:table>
</file>

<file path=xl/tables/table2.xml><?xml version="1.0" encoding="utf-8"?>
<x:table xmlns:x="http://schemas.openxmlformats.org/spreadsheetml/2006/main" id="2" name="BusinessServicesTable" displayName="BusinessServicesTable" ref="A1:J11" headerRowCount="1" totalsRowCount="0" totalsRowShown="0">
  <x:tableColumns count="10">
    <x:tableColumn id="1" name="Service ID"/>
    <x:tableColumn id="2" name="Business Service"/>
    <x:tableColumn id="3" name="Owner"/>
    <x:tableColumn id="4" name="Supporting Assets"/>
    <x:tableColumn id="5" name="Business Impact if Unavailable"/>
    <x:tableColumn id="6" name="Maximum Tolerable Downtime"/>
    <x:tableColumn id="7" name="Target RTO"/>
    <x:tableColumn id="8" name="Target RPO"/>
    <x:tableColumn id="9" name="Criticality"/>
    <x:tableColumn id="10" name="Key Cyber Dependency"/>
  </x:tableColumns>
  <x:tableStyleInfo name="TableStyleMedium2" showFirstColumn="0" showLastColumn="0" showRowStripes="1" showColumnStripes="0"/>
</x:table>
</file>

<file path=xl/tables/table3.xml><?xml version="1.0" encoding="utf-8"?>
<x:table xmlns:x="http://schemas.openxmlformats.org/spreadsheetml/2006/main" id="3" name="CrownJewelsTable" displayName="CrownJewelsTable" ref="A1:G9" headerRowCount="1" totalsRowCount="0" totalsRowShown="0">
  <x:tableColumns count="7">
    <x:tableColumn id="1" name="Priority"/>
    <x:tableColumn id="2" name="Asset ID"/>
    <x:tableColumn id="3" name="Crown Jewel"/>
    <x:tableColumn id="4" name="Why It Matters"/>
    <x:tableColumn id="5" name="Primary Threat Concern"/>
    <x:tableColumn id="6" name="Security Focus"/>
    <x:tableColumn id="7" name="Target Recove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4c2028635fa43db" /></Relationships>
</file>

<file path=xl/worksheets/_rels/sheet3.xml.rels>&#65279;<?xml version="1.0" encoding="utf-8"?><Relationships xmlns="http://schemas.openxmlformats.org/package/2006/relationships"><Relationship Type="http://schemas.openxmlformats.org/officeDocument/2006/relationships/table" Target="/xl/tables/table1.xml" Id="R943c92472ed14886" /></Relationships>
</file>

<file path=xl/worksheets/_rels/sheet4.xml.rels>&#65279;<?xml version="1.0" encoding="utf-8"?><Relationships xmlns="http://schemas.openxmlformats.org/package/2006/relationships"><Relationship Type="http://schemas.openxmlformats.org/officeDocument/2006/relationships/table" Target="/xl/tables/table2.xml" Id="R7516ac99d9ee4ceb" /></Relationships>
</file>

<file path=xl/worksheets/_rels/sheet5.xml.rels>&#65279;<?xml version="1.0" encoding="utf-8"?><Relationships xmlns="http://schemas.openxmlformats.org/package/2006/relationships"><Relationship Type="http://schemas.openxmlformats.org/officeDocument/2006/relationships/table" Target="/xl/tables/table3.xml" Id="Rc4df96ebbac949a5" /></Relationships>
</file>

<file path=xl/worksheets/sheet1.xml><?xml version="1.0" encoding="utf-8"?>
<x:worksheet xmlns:x="http://schemas.openxmlformats.org/spreadsheetml/2006/main">
  <x:sheetFormatPr defaultRowHeight="15"/>
  <x:cols>
    <x:col min="1" max="1" width="18" hidden="0" customWidth="1"/>
    <x:col min="2" max="2" width="14" hidden="0" customWidth="1"/>
    <x:col min="3" max="3" width="14" hidden="0" customWidth="1"/>
    <x:col min="4" max="4" width="4" hidden="0" customWidth="1"/>
    <x:col min="5" max="5" width="11" hidden="0" customWidth="1"/>
    <x:col min="6" max="6" width="31" hidden="0" customWidth="1"/>
    <x:col min="7" max="7" width="40" hidden="0" customWidth="1"/>
    <x:col min="8" max="8" width="35" hidden="0" customWidth="1"/>
  </x:cols>
  <x:sheetData>
    <x:row r="1">
      <x:c r="A1" s="10" t="str">
        <x:v>Enterprise Cybersecurity Asset Inventory</x:v>
      </x:c>
      <x:c r="B1" s="10"/>
      <x:c r="C1" s="10"/>
      <x:c r="D1" s="10"/>
      <x:c r="E1" s="10"/>
      <x:c r="F1" s="10"/>
      <x:c r="G1" s="10"/>
      <x:c r="H1" s="10"/>
      <x:c r="I1" s="117"/>
      <x:c r="J1" s="117"/>
      <x:c r="K1" s="117"/>
      <x:c r="L1" s="117"/>
      <x:c r="M1" s="117"/>
      <x:c r="N1" s="117"/>
      <x:c r="O1" s="117"/>
      <x:c r="P1" s="117"/>
      <x:c r="Q1" s="117"/>
      <x:c r="R1" s="117"/>
      <x:c r="S1" s="117"/>
      <x:c r="T1" s="117"/>
      <x:c r="U1" s="117"/>
      <x:c r="V1" s="117"/>
      <x:c r="W1" s="117"/>
      <x:c r="X1" s="117"/>
      <x:c r="Y1" s="117"/>
    </x:row>
    <x:row r="2">
      <x:c r="A2" s="10"/>
      <x:c r="B2" s="10"/>
      <x:c r="C2" s="10"/>
      <x:c r="D2" s="10"/>
      <x:c r="E2" s="10"/>
      <x:c r="F2" s="10"/>
      <x:c r="G2" s="10"/>
      <x:c r="H2" s="10"/>
      <x:c r="I2" s="117"/>
      <x:c r="J2" s="117"/>
      <x:c r="K2" s="117"/>
      <x:c r="L2" s="117"/>
      <x:c r="M2" s="117"/>
      <x:c r="N2" s="117"/>
      <x:c r="O2" s="117"/>
      <x:c r="P2" s="117"/>
      <x:c r="Q2" s="117"/>
      <x:c r="R2" s="117"/>
      <x:c r="S2" s="117"/>
      <x:c r="T2" s="117"/>
      <x:c r="U2" s="117"/>
      <x:c r="V2" s="117"/>
      <x:c r="W2" s="117"/>
      <x:c r="X2" s="117"/>
      <x:c r="Y2" s="117"/>
    </x:row>
    <x:row r="3">
      <x:c r="A3" s="118" t="str">
        <x:v>IslandLink Business Services Ltd. (Fictional) | Jamaica | Project 2 Foundation</x:v>
      </x:c>
      <x:c r="B3" s="118"/>
      <x:c r="C3" s="118"/>
      <x:c r="D3" s="118"/>
      <x:c r="E3" s="118"/>
      <x:c r="F3" s="118"/>
      <x:c r="G3" s="118"/>
      <x:c r="H3" s="118"/>
      <x:c r="I3" s="117"/>
      <x:c r="J3" s="117"/>
      <x:c r="K3" s="117"/>
      <x:c r="L3" s="117"/>
      <x:c r="M3" s="117"/>
      <x:c r="N3" s="117"/>
      <x:c r="O3" s="117"/>
      <x:c r="P3" s="117"/>
      <x:c r="Q3" s="117"/>
      <x:c r="R3" s="117"/>
      <x:c r="S3" s="117"/>
      <x:c r="T3" s="117"/>
      <x:c r="U3" s="117"/>
      <x:c r="V3" s="117"/>
      <x:c r="W3" s="117"/>
      <x:c r="X3" s="117"/>
      <x:c r="Y3" s="117"/>
    </x:row>
    <x:row r="4">
      <x:c r="A4" s="117"/>
      <x:c r="B4" s="117"/>
      <x:c r="C4" s="117"/>
      <x:c r="D4" s="117"/>
      <x:c r="E4" s="117"/>
      <x:c r="F4" s="117"/>
      <x:c r="G4" s="117"/>
      <x:c r="H4" s="117"/>
      <x:c r="I4" s="117"/>
      <x:c r="J4" s="117"/>
      <x:c r="K4" s="117"/>
      <x:c r="L4" s="117"/>
      <x:c r="M4" s="117"/>
      <x:c r="N4" s="117"/>
      <x:c r="O4" s="117"/>
      <x:c r="P4" s="117"/>
      <x:c r="Q4" s="117"/>
      <x:c r="R4" s="117"/>
      <x:c r="S4" s="117"/>
      <x:c r="T4" s="117"/>
      <x:c r="U4" s="117"/>
      <x:c r="V4" s="117"/>
      <x:c r="W4" s="117"/>
      <x:c r="X4" s="117"/>
      <x:c r="Y4" s="117"/>
    </x:row>
    <x:row r="5">
      <x:c r="A5" s="154" t="str">
        <x:v>Assets</x:v>
      </x:c>
      <x:c r="B5" s="154"/>
      <x:c r="C5" s="154" t="str">
        <x:v>Critical Assets</x:v>
      </x:c>
      <x:c r="D5" s="154"/>
      <x:c r="E5" s="154" t="str">
        <x:v>Internet-Exposed</x:v>
      </x:c>
      <x:c r="F5" s="154"/>
      <x:c r="G5" s="154" t="str">
        <x:v>Needs Improvement / Weak</x:v>
      </x:c>
      <x:c r="H5" s="154"/>
      <x:c r="I5" s="117"/>
      <x:c r="J5" s="117"/>
      <x:c r="K5" s="117"/>
      <x:c r="L5" s="117"/>
      <x:c r="M5" s="117"/>
      <x:c r="N5" s="117"/>
      <x:c r="O5" s="117"/>
      <x:c r="P5" s="117"/>
      <x:c r="Q5" s="117"/>
      <x:c r="R5" s="117"/>
      <x:c r="S5" s="117"/>
      <x:c r="T5" s="117"/>
      <x:c r="U5" s="117"/>
      <x:c r="V5" s="117"/>
      <x:c r="W5" s="117"/>
      <x:c r="X5" s="117"/>
      <x:c r="Y5" s="117"/>
    </x:row>
    <x:row r="6">
      <x:c r="A6" s="120" t="n">
        <x:f>COUNTA('Asset Inventory'!A2:A200)</x:f>
        <x:v>35</x:v>
      </x:c>
      <x:c r="B6" s="120"/>
      <x:c r="C6" s="120" t="n">
        <x:f>COUNTIF('Asset Inventory'!O2:O200,"Critical")</x:f>
        <x:v>13</x:v>
      </x:c>
      <x:c r="D6" s="120"/>
      <x:c r="E6" s="120" t="n">
        <x:f>COUNTIF('Asset Inventory'!P2:P200,"Yes")</x:f>
        <x:v>18</x:v>
      </x:c>
      <x:c r="F6" s="120"/>
      <x:c r="G6" s="120" t="n">
        <x:f>COUNTIF('Asset Inventory'!V2:V200,"Needs Improvement")+COUNTIF('Asset Inventory'!V2:V200,"Weak")</x:f>
        <x:v>20</x:v>
      </x:c>
      <x:c r="H6" s="120"/>
      <x:c r="I6" s="117"/>
      <x:c r="J6" s="117"/>
      <x:c r="K6" s="117"/>
      <x:c r="L6" s="117"/>
      <x:c r="M6" s="117"/>
      <x:c r="N6" s="117"/>
      <x:c r="O6" s="117"/>
      <x:c r="P6" s="117"/>
      <x:c r="Q6" s="117"/>
      <x:c r="R6" s="117"/>
      <x:c r="S6" s="117"/>
      <x:c r="T6" s="117"/>
      <x:c r="U6" s="117"/>
      <x:c r="V6" s="117"/>
      <x:c r="W6" s="117"/>
      <x:c r="X6" s="117"/>
      <x:c r="Y6" s="117"/>
    </x:row>
    <x:row r="7">
      <x:c r="A7" s="120"/>
      <x:c r="B7" s="120"/>
      <x:c r="C7" s="120"/>
      <x:c r="D7" s="120"/>
      <x:c r="E7" s="120"/>
      <x:c r="F7" s="120"/>
      <x:c r="G7" s="120"/>
      <x:c r="H7" s="120"/>
      <x:c r="I7" s="117"/>
      <x:c r="J7" s="117"/>
      <x:c r="K7" s="117"/>
      <x:c r="L7" s="117"/>
      <x:c r="M7" s="117"/>
      <x:c r="N7" s="117"/>
      <x:c r="O7" s="117"/>
      <x:c r="P7" s="117"/>
      <x:c r="Q7" s="117"/>
      <x:c r="R7" s="117"/>
      <x:c r="S7" s="117"/>
      <x:c r="T7" s="117"/>
      <x:c r="U7" s="117"/>
      <x:c r="V7" s="117"/>
      <x:c r="W7" s="117"/>
      <x:c r="X7" s="117"/>
      <x:c r="Y7" s="117"/>
    </x:row>
    <x:row r="8">
      <x:c r="A8" s="117"/>
      <x:c r="B8" s="117"/>
      <x:c r="C8" s="117"/>
      <x:c r="D8" s="117"/>
      <x:c r="E8" s="117"/>
      <x:c r="F8" s="117"/>
      <x:c r="G8" s="117"/>
      <x:c r="H8" s="117"/>
      <x:c r="I8" s="117"/>
      <x:c r="J8" s="117"/>
      <x:c r="K8" s="117"/>
      <x:c r="L8" s="117"/>
      <x:c r="M8" s="117"/>
      <x:c r="N8" s="117"/>
      <x:c r="O8" s="117"/>
      <x:c r="P8" s="117"/>
      <x:c r="Q8" s="117"/>
      <x:c r="R8" s="117"/>
      <x:c r="S8" s="117"/>
      <x:c r="T8" s="117"/>
      <x:c r="U8" s="117"/>
      <x:c r="V8" s="117"/>
      <x:c r="W8" s="117"/>
      <x:c r="X8" s="117"/>
      <x:c r="Y8" s="117"/>
    </x:row>
    <x:row r="9">
      <x:c r="A9" s="156" t="str">
        <x:v>Environment Summary</x:v>
      </x:c>
      <x:c r="B9" s="156"/>
      <x:c r="C9" s="156"/>
      <x:c r="D9" s="156"/>
      <x:c r="E9" s="156"/>
      <x:c r="F9" s="156"/>
      <x:c r="G9" s="156"/>
      <x:c r="H9" s="156"/>
      <x:c r="I9" s="117"/>
      <x:c r="J9" s="117"/>
      <x:c r="K9" s="117"/>
      <x:c r="L9" s="117"/>
      <x:c r="M9" s="117"/>
      <x:c r="N9" s="117"/>
      <x:c r="O9" s="117"/>
      <x:c r="P9" s="117"/>
      <x:c r="Q9" s="117"/>
      <x:c r="R9" s="117"/>
      <x:c r="S9" s="117"/>
      <x:c r="T9" s="117"/>
      <x:c r="U9" s="117"/>
      <x:c r="V9" s="117"/>
      <x:c r="W9" s="117"/>
      <x:c r="X9" s="117"/>
      <x:c r="Y9" s="117"/>
    </x:row>
    <x:row r="10">
      <x:c r="A10" s="122" t="str">
        <x:v>The fictional company relies heavily on cloud identity, Microsoft 365, SaaS business applications, employee endpoints, hybrid work, internet connectivity and several vendor-managed services. The most important assets are identity, email/collaboration, financial systems and data, backups, administrative credentials and perimeter controls. The inventory also exposes several risk themes that will drive the next phase: incomplete MFA coverage, legacy infrastructure, fragmented logging, vendor access, broad file permissions, inconsistent access reviews, backup resilience, and concentrated privileged administration.</x:v>
      </x:c>
      <x:c r="B10" s="122"/>
      <x:c r="C10" s="122"/>
      <x:c r="D10" s="122"/>
      <x:c r="E10" s="122"/>
      <x:c r="F10" s="122"/>
      <x:c r="G10" s="122"/>
      <x:c r="H10" s="122"/>
      <x:c r="I10" s="117"/>
      <x:c r="J10" s="117"/>
      <x:c r="K10" s="117"/>
      <x:c r="L10" s="117"/>
      <x:c r="M10" s="117"/>
      <x:c r="N10" s="117"/>
      <x:c r="O10" s="117"/>
      <x:c r="P10" s="117"/>
      <x:c r="Q10" s="117"/>
      <x:c r="R10" s="117"/>
      <x:c r="S10" s="117"/>
      <x:c r="T10" s="117"/>
      <x:c r="U10" s="117"/>
      <x:c r="V10" s="117"/>
      <x:c r="W10" s="117"/>
      <x:c r="X10" s="117"/>
      <x:c r="Y10" s="117"/>
    </x:row>
    <x:row r="11">
      <x:c r="A11" s="122"/>
      <x:c r="B11" s="122"/>
      <x:c r="C11" s="122"/>
      <x:c r="D11" s="122"/>
      <x:c r="E11" s="122"/>
      <x:c r="F11" s="122"/>
      <x:c r="G11" s="122"/>
      <x:c r="H11" s="122"/>
      <x:c r="I11" s="117"/>
      <x:c r="J11" s="117"/>
      <x:c r="K11" s="117"/>
      <x:c r="L11" s="117"/>
      <x:c r="M11" s="117"/>
      <x:c r="N11" s="117"/>
      <x:c r="O11" s="117"/>
      <x:c r="P11" s="117"/>
      <x:c r="Q11" s="117"/>
      <x:c r="R11" s="117"/>
      <x:c r="S11" s="117"/>
      <x:c r="T11" s="117"/>
      <x:c r="U11" s="117"/>
      <x:c r="V11" s="117"/>
      <x:c r="W11" s="117"/>
      <x:c r="X11" s="117"/>
      <x:c r="Y11" s="117"/>
    </x:row>
    <x:row r="12">
      <x:c r="A12" s="122"/>
      <x:c r="B12" s="122"/>
      <x:c r="C12" s="122"/>
      <x:c r="D12" s="122"/>
      <x:c r="E12" s="122"/>
      <x:c r="F12" s="122"/>
      <x:c r="G12" s="122"/>
      <x:c r="H12" s="122"/>
      <x:c r="I12" s="117"/>
      <x:c r="J12" s="117"/>
      <x:c r="K12" s="117"/>
      <x:c r="L12" s="117"/>
      <x:c r="M12" s="117"/>
      <x:c r="N12" s="117"/>
      <x:c r="O12" s="117"/>
      <x:c r="P12" s="117"/>
      <x:c r="Q12" s="117"/>
      <x:c r="R12" s="117"/>
      <x:c r="S12" s="117"/>
      <x:c r="T12" s="117"/>
      <x:c r="U12" s="117"/>
      <x:c r="V12" s="117"/>
      <x:c r="W12" s="117"/>
      <x:c r="X12" s="117"/>
      <x:c r="Y12" s="117"/>
    </x:row>
    <x:row r="13">
      <x:c r="A13" s="122"/>
      <x:c r="B13" s="122"/>
      <x:c r="C13" s="122"/>
      <x:c r="D13" s="122"/>
      <x:c r="E13" s="122"/>
      <x:c r="F13" s="122"/>
      <x:c r="G13" s="122"/>
      <x:c r="H13" s="122"/>
      <x:c r="I13" s="117"/>
      <x:c r="J13" s="117"/>
      <x:c r="K13" s="117"/>
      <x:c r="L13" s="117"/>
      <x:c r="M13" s="117"/>
      <x:c r="N13" s="117"/>
      <x:c r="O13" s="117"/>
      <x:c r="P13" s="117"/>
      <x:c r="Q13" s="117"/>
      <x:c r="R13" s="117"/>
      <x:c r="S13" s="117"/>
      <x:c r="T13" s="117"/>
      <x:c r="U13" s="117"/>
      <x:c r="V13" s="117"/>
      <x:c r="W13" s="117"/>
      <x:c r="X13" s="117"/>
      <x:c r="Y13" s="117"/>
    </x:row>
    <x:row r="14">
      <x:c r="A14" s="122"/>
      <x:c r="B14" s="122"/>
      <x:c r="C14" s="122"/>
      <x:c r="D14" s="122"/>
      <x:c r="E14" s="122"/>
      <x:c r="F14" s="122"/>
      <x:c r="G14" s="122"/>
      <x:c r="H14" s="122"/>
      <x:c r="I14" s="117"/>
      <x:c r="J14" s="117"/>
      <x:c r="K14" s="117"/>
      <x:c r="L14" s="117"/>
      <x:c r="M14" s="117"/>
      <x:c r="N14" s="117"/>
      <x:c r="O14" s="117"/>
      <x:c r="P14" s="117"/>
      <x:c r="Q14" s="117"/>
      <x:c r="R14" s="117"/>
      <x:c r="S14" s="117"/>
      <x:c r="T14" s="117"/>
      <x:c r="U14" s="117"/>
      <x:c r="V14" s="117"/>
      <x:c r="W14" s="117"/>
      <x:c r="X14" s="117"/>
      <x:c r="Y14" s="117"/>
    </x:row>
    <x:row r="15">
      <x:c r="A15" s="117"/>
      <x:c r="B15" s="117"/>
      <x:c r="C15" s="117"/>
      <x:c r="D15" s="117"/>
      <x:c r="E15" s="117"/>
      <x:c r="F15" s="117"/>
      <x:c r="G15" s="117"/>
      <x:c r="H15" s="117"/>
      <x:c r="I15" s="117"/>
      <x:c r="J15" s="117"/>
      <x:c r="K15" s="117"/>
      <x:c r="L15" s="117"/>
      <x:c r="M15" s="117"/>
      <x:c r="N15" s="117"/>
      <x:c r="O15" s="117"/>
      <x:c r="P15" s="117"/>
      <x:c r="Q15" s="117"/>
      <x:c r="R15" s="117"/>
      <x:c r="S15" s="117"/>
      <x:c r="T15" s="117"/>
      <x:c r="U15" s="117"/>
      <x:c r="V15" s="117"/>
      <x:c r="W15" s="117"/>
      <x:c r="X15" s="117"/>
      <x:c r="Y15" s="117"/>
    </x:row>
    <x:row r="16">
      <x:c r="A16" s="158" t="str">
        <x:v>Criticality</x:v>
      </x:c>
      <x:c r="B16" s="158" t="str">
        <x:v>Count</x:v>
      </x:c>
      <x:c r="C16" s="158" t="str">
        <x:v>Share</x:v>
      </x:c>
      <x:c r="D16" s="117"/>
      <x:c r="E16" s="158" t="str">
        <x:v>Top Crown-Jewel Assets</x:v>
      </x:c>
      <x:c r="F16" s="158"/>
      <x:c r="G16" s="158"/>
      <x:c r="H16" s="158"/>
      <x:c r="I16" s="117"/>
      <x:c r="J16" s="117"/>
      <x:c r="K16" s="117"/>
      <x:c r="L16" s="117"/>
      <x:c r="M16" s="117"/>
      <x:c r="N16" s="117"/>
      <x:c r="O16" s="117"/>
      <x:c r="P16" s="117"/>
      <x:c r="Q16" s="117"/>
      <x:c r="R16" s="117"/>
      <x:c r="S16" s="117"/>
      <x:c r="T16" s="117"/>
      <x:c r="U16" s="117"/>
      <x:c r="V16" s="117"/>
      <x:c r="W16" s="117"/>
      <x:c r="X16" s="117"/>
      <x:c r="Y16" s="117"/>
    </x:row>
    <x:row r="17">
      <x:c r="A17" s="117" t="str">
        <x:v>Critical</x:v>
      </x:c>
      <x:c r="B17" s="117" t="n">
        <x:f>COUNTIF('Asset Inventory'!O2:O200,A17)</x:f>
        <x:v>13</x:v>
      </x:c>
      <x:c r="C17" s="124" t="n">
        <x:f>IF($A$6=0,0,B17/$A$6)</x:f>
        <x:v>0.37142857142857144</x:v>
      </x:c>
      <x:c r="D17" s="117"/>
      <x:c r="E17" s="125" t="str">
        <x:v>Priority</x:v>
      </x:c>
      <x:c r="F17" s="125" t="str">
        <x:v>Asset</x:v>
      </x:c>
      <x:c r="G17" s="125" t="str">
        <x:v>Why</x:v>
      </x:c>
      <x:c r="H17" s="125" t="str">
        <x:v>Primary Focus</x:v>
      </x:c>
      <x:c r="I17" s="117"/>
      <x:c r="J17" s="117"/>
      <x:c r="K17" s="117"/>
      <x:c r="L17" s="117"/>
      <x:c r="M17" s="117"/>
      <x:c r="N17" s="117"/>
      <x:c r="O17" s="117"/>
      <x:c r="P17" s="117"/>
      <x:c r="Q17" s="117"/>
      <x:c r="R17" s="117"/>
      <x:c r="S17" s="117"/>
      <x:c r="T17" s="117"/>
      <x:c r="U17" s="117"/>
      <x:c r="V17" s="117"/>
      <x:c r="W17" s="117"/>
      <x:c r="X17" s="117"/>
      <x:c r="Y17" s="117"/>
    </x:row>
    <x:row r="18">
      <x:c r="A18" s="117" t="str">
        <x:v>High</x:v>
      </x:c>
      <x:c r="B18" s="117" t="n">
        <x:f>COUNTIF('Asset Inventory'!O2:O200,A18)</x:f>
        <x:v>18</x:v>
      </x:c>
      <x:c r="C18" s="124" t="n">
        <x:f>IF($A$6=0,0,B18/$A$6)</x:f>
        <x:v>0.5142857142857142</x:v>
      </x:c>
      <x:c r="D18" s="117"/>
      <x:c r="E18" s="62" t="n">
        <x:v>1</x:v>
      </x:c>
      <x:c r="F18" s="62" t="str">
        <x:v>Microsoft Entra ID</x:v>
      </x:c>
      <x:c r="G18" s="62" t="str">
        <x:v>Enterprise authentication and privilege control</x:v>
      </x:c>
      <x:c r="H18" s="62" t="str">
        <x:v>MFA / Conditional Access / Privileged Access</x:v>
      </x:c>
      <x:c r="I18" s="117"/>
      <x:c r="J18" s="117"/>
      <x:c r="K18" s="117"/>
      <x:c r="L18" s="117"/>
      <x:c r="M18" s="117"/>
      <x:c r="N18" s="117"/>
      <x:c r="O18" s="117"/>
      <x:c r="P18" s="117"/>
      <x:c r="Q18" s="117"/>
      <x:c r="R18" s="117"/>
      <x:c r="S18" s="117"/>
      <x:c r="T18" s="117"/>
      <x:c r="U18" s="117"/>
      <x:c r="V18" s="117"/>
      <x:c r="W18" s="117"/>
      <x:c r="X18" s="117"/>
      <x:c r="Y18" s="117"/>
    </x:row>
    <x:row r="19">
      <x:c r="A19" s="117" t="str">
        <x:v>Medium</x:v>
      </x:c>
      <x:c r="B19" s="117" t="n">
        <x:f>COUNTIF('Asset Inventory'!O2:O200,A19)</x:f>
        <x:v>4</x:v>
      </x:c>
      <x:c r="C19" s="124" t="n">
        <x:f>IF($A$6=0,0,B19/$A$6)</x:f>
        <x:v>0.11428571428571428</x:v>
      </x:c>
      <x:c r="D19" s="117"/>
      <x:c r="E19" s="62" t="n">
        <x:v>2</x:v>
      </x:c>
      <x:c r="F19" s="62" t="str">
        <x:v>Microsoft 365 Tenant</x:v>
      </x:c>
      <x:c r="G19" s="62" t="str">
        <x:v>Email, files and collaboration</x:v>
      </x:c>
      <x:c r="H19" s="62" t="str">
        <x:v>Identity / Anti-Phishing / Sharing Controls</x:v>
      </x:c>
      <x:c r="I19" s="117"/>
      <x:c r="J19" s="117"/>
      <x:c r="K19" s="117"/>
      <x:c r="L19" s="117"/>
      <x:c r="M19" s="117"/>
      <x:c r="N19" s="117"/>
      <x:c r="O19" s="117"/>
      <x:c r="P19" s="117"/>
      <x:c r="Q19" s="117"/>
      <x:c r="R19" s="117"/>
      <x:c r="S19" s="117"/>
      <x:c r="T19" s="117"/>
      <x:c r="U19" s="117"/>
      <x:c r="V19" s="117"/>
      <x:c r="W19" s="117"/>
      <x:c r="X19" s="117"/>
      <x:c r="Y19" s="117"/>
    </x:row>
    <x:row r="20">
      <x:c r="A20" s="117" t="str">
        <x:v>Low</x:v>
      </x:c>
      <x:c r="B20" s="117" t="n">
        <x:f>COUNTIF('Asset Inventory'!O2:O200,A20)</x:f>
        <x:v>0</x:v>
      </x:c>
      <x:c r="C20" s="124" t="n">
        <x:f>IF($A$6=0,0,B20/$A$6)</x:f>
        <x:v>0</x:v>
      </x:c>
      <x:c r="D20" s="117"/>
      <x:c r="E20" s="62" t="n">
        <x:v>3</x:v>
      </x:c>
      <x:c r="F20" s="62" t="str">
        <x:v>Cloud Accounting System</x:v>
      </x:c>
      <x:c r="G20" s="62" t="str">
        <x:v>Financial operations</x:v>
      </x:c>
      <x:c r="H20" s="62" t="str">
        <x:v>MFA / Audit / Segregation of Duties</x:v>
      </x:c>
      <x:c r="I20" s="117"/>
      <x:c r="J20" s="117"/>
      <x:c r="K20" s="117"/>
      <x:c r="L20" s="117"/>
      <x:c r="M20" s="117"/>
      <x:c r="N20" s="117"/>
      <x:c r="O20" s="117"/>
      <x:c r="P20" s="117"/>
      <x:c r="Q20" s="117"/>
      <x:c r="R20" s="117"/>
      <x:c r="S20" s="117"/>
      <x:c r="T20" s="117"/>
      <x:c r="U20" s="117"/>
      <x:c r="V20" s="117"/>
      <x:c r="W20" s="117"/>
      <x:c r="X20" s="117"/>
      <x:c r="Y20" s="117"/>
    </x:row>
    <x:row r="21">
      <x:c r="A21" s="117"/>
      <x:c r="B21" s="117"/>
      <x:c r="C21" s="117"/>
      <x:c r="D21" s="117"/>
      <x:c r="E21" s="62" t="n">
        <x:v>4</x:v>
      </x:c>
      <x:c r="F21" s="62" t="str">
        <x:v>Backup Repository</x:v>
      </x:c>
      <x:c r="G21" s="62" t="str">
        <x:v>Ransomware and disaster recovery</x:v>
      </x:c>
      <x:c r="H21" s="62" t="str">
        <x:v>Immutability / Restore Testing / Isolation</x:v>
      </x:c>
      <x:c r="I21" s="117"/>
      <x:c r="J21" s="117"/>
      <x:c r="K21" s="117"/>
      <x:c r="L21" s="117"/>
      <x:c r="M21" s="117"/>
      <x:c r="N21" s="117"/>
      <x:c r="O21" s="117"/>
      <x:c r="P21" s="117"/>
      <x:c r="Q21" s="117"/>
      <x:c r="R21" s="117"/>
      <x:c r="S21" s="117"/>
      <x:c r="T21" s="117"/>
      <x:c r="U21" s="117"/>
      <x:c r="V21" s="117"/>
      <x:c r="W21" s="117"/>
      <x:c r="X21" s="117"/>
      <x:c r="Y21" s="117"/>
    </x:row>
    <x:row r="22">
      <x:c r="A22" s="117"/>
      <x:c r="B22" s="117"/>
      <x:c r="C22" s="117"/>
      <x:c r="D22" s="117"/>
      <x:c r="E22" s="62" t="n">
        <x:v>5</x:v>
      </x:c>
      <x:c r="F22" s="62" t="str">
        <x:v>Administrative Credentials</x:v>
      </x:c>
      <x:c r="G22" s="62" t="str">
        <x:v>Privileged control of critical systems</x:v>
      </x:c>
      <x:c r="H22" s="62" t="str">
        <x:v>Vaulting / Rotation / Audit / Break Glass</x:v>
      </x:c>
      <x:c r="I22" s="117"/>
      <x:c r="J22" s="117"/>
      <x:c r="K22" s="117"/>
      <x:c r="L22" s="117"/>
      <x:c r="M22" s="117"/>
      <x:c r="N22" s="117"/>
      <x:c r="O22" s="117"/>
      <x:c r="P22" s="117"/>
      <x:c r="Q22" s="117"/>
      <x:c r="R22" s="117"/>
      <x:c r="S22" s="117"/>
      <x:c r="T22" s="117"/>
      <x:c r="U22" s="117"/>
      <x:c r="V22" s="117"/>
      <x:c r="W22" s="117"/>
      <x:c r="X22" s="117"/>
      <x:c r="Y22" s="117"/>
    </x:row>
    <x:row r="23">
      <x:c r="A23" s="117"/>
      <x:c r="B23" s="117"/>
      <x:c r="C23" s="117"/>
      <x:c r="D23" s="117"/>
      <x:c r="E23" s="117"/>
      <x:c r="F23" s="117"/>
      <x:c r="G23" s="117"/>
      <x:c r="H23" s="117"/>
      <x:c r="I23" s="117"/>
      <x:c r="J23" s="117"/>
      <x:c r="K23" s="117"/>
      <x:c r="L23" s="117"/>
      <x:c r="M23" s="117"/>
      <x:c r="N23" s="117"/>
      <x:c r="O23" s="117"/>
      <x:c r="P23" s="117"/>
      <x:c r="Q23" s="117"/>
      <x:c r="R23" s="117"/>
      <x:c r="S23" s="117"/>
      <x:c r="T23" s="117"/>
      <x:c r="U23" s="117"/>
      <x:c r="V23" s="117"/>
      <x:c r="W23" s="117"/>
      <x:c r="X23" s="117"/>
      <x:c r="Y23" s="117"/>
    </x:row>
    <x:row r="24">
      <x:c r="A24" s="117"/>
      <x:c r="B24" s="117"/>
      <x:c r="C24" s="117"/>
      <x:c r="D24" s="117"/>
      <x:c r="E24" s="117"/>
      <x:c r="F24" s="117"/>
      <x:c r="G24" s="117"/>
      <x:c r="H24" s="117"/>
      <x:c r="I24" s="117"/>
      <x:c r="J24" s="117"/>
      <x:c r="K24" s="117"/>
      <x:c r="L24" s="117"/>
      <x:c r="M24" s="117"/>
      <x:c r="N24" s="117"/>
      <x:c r="O24" s="117"/>
      <x:c r="P24" s="117"/>
      <x:c r="Q24" s="117"/>
      <x:c r="R24" s="117"/>
      <x:c r="S24" s="117"/>
      <x:c r="T24" s="117"/>
      <x:c r="U24" s="117"/>
      <x:c r="V24" s="117"/>
      <x:c r="W24" s="117"/>
      <x:c r="X24" s="117"/>
      <x:c r="Y24" s="117"/>
    </x:row>
    <x:row r="25">
      <x:c r="A25" s="117"/>
      <x:c r="B25" s="117"/>
      <x:c r="C25" s="117"/>
      <x:c r="D25" s="117"/>
      <x:c r="E25" s="117"/>
      <x:c r="F25" s="117"/>
      <x:c r="G25" s="117"/>
      <x:c r="H25" s="117"/>
      <x:c r="I25" s="117"/>
      <x:c r="J25" s="117"/>
      <x:c r="K25" s="117"/>
      <x:c r="L25" s="117"/>
      <x:c r="M25" s="117"/>
      <x:c r="N25" s="117"/>
      <x:c r="O25" s="117"/>
      <x:c r="P25" s="117"/>
      <x:c r="Q25" s="117"/>
      <x:c r="R25" s="117"/>
      <x:c r="S25" s="117"/>
      <x:c r="T25" s="117"/>
      <x:c r="U25" s="117"/>
      <x:c r="V25" s="117"/>
      <x:c r="W25" s="117"/>
      <x:c r="X25" s="117"/>
      <x:c r="Y25" s="117"/>
    </x:row>
    <x:row r="26">
      <x:c r="A26" s="117"/>
      <x:c r="B26" s="117"/>
      <x:c r="C26" s="117"/>
      <x:c r="D26" s="117"/>
      <x:c r="E26" s="117"/>
      <x:c r="F26" s="117"/>
      <x:c r="G26" s="117"/>
      <x:c r="H26" s="117"/>
      <x:c r="I26" s="117"/>
      <x:c r="J26" s="117"/>
      <x:c r="K26" s="117"/>
      <x:c r="L26" s="117"/>
      <x:c r="M26" s="117"/>
      <x:c r="N26" s="117"/>
      <x:c r="O26" s="117"/>
      <x:c r="P26" s="117"/>
      <x:c r="Q26" s="117"/>
      <x:c r="R26" s="117"/>
      <x:c r="S26" s="117"/>
      <x:c r="T26" s="117"/>
      <x:c r="U26" s="117"/>
      <x:c r="V26" s="117"/>
      <x:c r="W26" s="117"/>
      <x:c r="X26" s="117"/>
      <x:c r="Y26" s="117"/>
    </x:row>
    <x:row r="27">
      <x:c r="A27" s="117"/>
      <x:c r="B27" s="117"/>
      <x:c r="C27" s="117"/>
      <x:c r="D27" s="117"/>
      <x:c r="E27" s="117"/>
      <x:c r="F27" s="117"/>
      <x:c r="G27" s="117"/>
      <x:c r="H27" s="117"/>
      <x:c r="I27" s="117"/>
      <x:c r="J27" s="117"/>
      <x:c r="K27" s="117"/>
      <x:c r="L27" s="117"/>
      <x:c r="M27" s="117"/>
      <x:c r="N27" s="117"/>
      <x:c r="O27" s="117"/>
      <x:c r="P27" s="117"/>
      <x:c r="Q27" s="117"/>
      <x:c r="R27" s="117"/>
      <x:c r="S27" s="117"/>
      <x:c r="T27" s="117"/>
      <x:c r="U27" s="117"/>
      <x:c r="V27" s="117"/>
      <x:c r="W27" s="117"/>
      <x:c r="X27" s="117"/>
      <x:c r="Y27" s="117"/>
    </x:row>
    <x:row r="28">
      <x:c r="A28" s="117"/>
      <x:c r="B28" s="117"/>
      <x:c r="C28" s="117"/>
      <x:c r="D28" s="117"/>
      <x:c r="E28" s="117"/>
      <x:c r="F28" s="117"/>
      <x:c r="G28" s="117"/>
      <x:c r="H28" s="117"/>
      <x:c r="I28" s="117"/>
      <x:c r="J28" s="117"/>
      <x:c r="K28" s="117"/>
      <x:c r="L28" s="117"/>
      <x:c r="M28" s="117"/>
      <x:c r="N28" s="117"/>
      <x:c r="O28" s="117"/>
      <x:c r="P28" s="117"/>
      <x:c r="Q28" s="117"/>
      <x:c r="R28" s="117"/>
      <x:c r="S28" s="117"/>
      <x:c r="T28" s="117"/>
      <x:c r="U28" s="117"/>
      <x:c r="V28" s="117"/>
      <x:c r="W28" s="117"/>
      <x:c r="X28" s="117"/>
      <x:c r="Y28" s="117"/>
    </x:row>
    <x:row r="29">
      <x:c r="A29" s="117"/>
      <x:c r="B29" s="117"/>
      <x:c r="C29" s="117"/>
      <x:c r="D29" s="117"/>
      <x:c r="E29" s="117"/>
      <x:c r="F29" s="117"/>
      <x:c r="G29" s="117"/>
      <x:c r="H29" s="117"/>
      <x:c r="I29" s="117"/>
      <x:c r="J29" s="117"/>
      <x:c r="K29" s="117"/>
      <x:c r="L29" s="117"/>
      <x:c r="M29" s="117"/>
      <x:c r="N29" s="117"/>
      <x:c r="O29" s="117"/>
      <x:c r="P29" s="117"/>
      <x:c r="Q29" s="117"/>
      <x:c r="R29" s="117"/>
      <x:c r="S29" s="117"/>
      <x:c r="T29" s="117"/>
      <x:c r="U29" s="117"/>
      <x:c r="V29" s="117"/>
      <x:c r="W29" s="117"/>
      <x:c r="X29" s="117"/>
      <x:c r="Y29" s="117"/>
    </x:row>
    <x:row r="30">
      <x:c r="A30" s="117"/>
      <x:c r="B30" s="117"/>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row>
    <x:row r="31">
      <x:c r="A31" s="117"/>
      <x:c r="B31" s="117"/>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row>
    <x:row r="32">
      <x:c r="A32" s="117"/>
      <x:c r="B32" s="117"/>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row>
    <x:row r="33">
      <x:c r="A33" s="117"/>
      <x:c r="B33" s="117"/>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row>
    <x:row r="34">
      <x:c r="A34" s="117"/>
      <x:c r="B34" s="117"/>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row>
    <x:row r="35">
      <x:c r="A35" s="117"/>
      <x:c r="B35" s="117"/>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row>
    <x:row r="101">
      <x:c r="A101" s="117"/>
      <x:c r="B101" s="117"/>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row>
    <x:row r="102">
      <x:c r="A102" s="117"/>
      <x:c r="B102" s="117"/>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row>
    <x:row r="103">
      <x:c r="A103" s="117"/>
      <x:c r="B103" s="117"/>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row>
    <x:row r="104">
      <x:c r="A104" s="117"/>
      <x:c r="B104" s="117"/>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row>
    <x:row r="105">
      <x:c r="A105" s="117"/>
      <x:c r="B105" s="117"/>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row>
    <x:row r="106">
      <x:c r="A106" s="117"/>
      <x:c r="B106" s="117"/>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row>
    <x:row r="107">
      <x:c r="A107" s="117"/>
      <x:c r="B107" s="117"/>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row>
    <x:row r="201">
      <x:c r="A201" s="117"/>
      <x:c r="B201" s="117"/>
      <x:c r="C201" s="117"/>
      <x:c r="D201" s="117"/>
      <x:c r="E201" s="117"/>
      <x:c r="F201" s="117"/>
      <x:c r="G201" s="117"/>
      <x:c r="H201" s="117"/>
      <x:c r="I201" s="117"/>
      <x:c r="J201" s="117"/>
      <x:c r="K201" s="117"/>
      <x:c r="L201" s="117"/>
      <x:c r="M201" s="117"/>
      <x:c r="N201" s="117"/>
      <x:c r="O201" s="117"/>
      <x:c r="P201" s="117"/>
      <x:c r="Q201" s="117"/>
      <x:c r="R201" s="117"/>
      <x:c r="S201" s="117"/>
      <x:c r="T201" s="117"/>
      <x:c r="U201" s="117"/>
      <x:c r="V201" s="117"/>
      <x:c r="W201" s="117"/>
      <x:c r="X201" s="117"/>
      <x:c r="Y201" s="117"/>
    </x:row>
    <x:row r="202">
      <x:c r="A202" s="117"/>
      <x:c r="B202" s="117"/>
      <x:c r="C202" s="117"/>
      <x:c r="D202" s="117"/>
      <x:c r="E202" s="117"/>
      <x:c r="F202" s="117"/>
      <x:c r="G202" s="117"/>
      <x:c r="H202" s="117"/>
      <x:c r="I202" s="117"/>
      <x:c r="J202" s="117"/>
      <x:c r="K202" s="117"/>
      <x:c r="L202" s="117"/>
      <x:c r="M202" s="117"/>
      <x:c r="N202" s="117"/>
      <x:c r="O202" s="117"/>
      <x:c r="P202" s="117"/>
      <x:c r="Q202" s="117"/>
      <x:c r="R202" s="117"/>
      <x:c r="S202" s="117"/>
      <x:c r="T202" s="117"/>
      <x:c r="U202" s="117"/>
      <x:c r="V202" s="117"/>
      <x:c r="W202" s="117"/>
      <x:c r="X202" s="117"/>
      <x:c r="Y202" s="117"/>
    </x:row>
    <x:row r="203">
      <x:c r="A203" s="117"/>
      <x:c r="B203" s="117"/>
      <x:c r="C203" s="117"/>
      <x:c r="D203" s="117"/>
      <x:c r="E203" s="117"/>
      <x:c r="F203" s="117"/>
      <x:c r="G203" s="117"/>
      <x:c r="H203" s="117"/>
      <x:c r="I203" s="117"/>
      <x:c r="J203" s="117"/>
      <x:c r="K203" s="117"/>
      <x:c r="L203" s="117"/>
      <x:c r="M203" s="117"/>
      <x:c r="N203" s="117"/>
      <x:c r="O203" s="117"/>
      <x:c r="P203" s="117"/>
      <x:c r="Q203" s="117"/>
      <x:c r="R203" s="117"/>
      <x:c r="S203" s="117"/>
      <x:c r="T203" s="117"/>
      <x:c r="U203" s="117"/>
      <x:c r="V203" s="117"/>
      <x:c r="W203" s="117"/>
      <x:c r="X203" s="117"/>
      <x:c r="Y203" s="117"/>
    </x:row>
    <x:row r="204">
      <x:c r="A204" s="117"/>
      <x:c r="B204" s="117"/>
      <x:c r="C204" s="117"/>
      <x:c r="D204" s="117"/>
      <x:c r="E204" s="117"/>
      <x:c r="F204" s="117"/>
      <x:c r="G204" s="117"/>
      <x:c r="H204" s="117"/>
      <x:c r="I204" s="117"/>
      <x:c r="J204" s="117"/>
      <x:c r="K204" s="117"/>
      <x:c r="L204" s="117"/>
      <x:c r="M204" s="117"/>
      <x:c r="N204" s="117"/>
      <x:c r="O204" s="117"/>
      <x:c r="P204" s="117"/>
      <x:c r="Q204" s="117"/>
      <x:c r="R204" s="117"/>
      <x:c r="S204" s="117"/>
      <x:c r="T204" s="117"/>
      <x:c r="U204" s="117"/>
      <x:c r="V204" s="117"/>
      <x:c r="W204" s="117"/>
      <x:c r="X204" s="117"/>
      <x:c r="Y204" s="117"/>
    </x:row>
    <x:row r="205">
      <x:c r="A205" s="117"/>
      <x:c r="B205" s="117"/>
      <x:c r="C205" s="117"/>
      <x:c r="D205" s="117"/>
      <x:c r="E205" s="117"/>
      <x:c r="F205" s="117"/>
      <x:c r="G205" s="117"/>
      <x:c r="H205" s="117"/>
      <x:c r="I205" s="117"/>
      <x:c r="J205" s="117"/>
      <x:c r="K205" s="117"/>
      <x:c r="L205" s="117"/>
      <x:c r="M205" s="117"/>
      <x:c r="N205" s="117"/>
      <x:c r="O205" s="117"/>
      <x:c r="P205" s="117"/>
      <x:c r="Q205" s="117"/>
      <x:c r="R205" s="117"/>
      <x:c r="S205" s="117"/>
      <x:c r="T205" s="117"/>
      <x:c r="U205" s="117"/>
      <x:c r="V205" s="117"/>
      <x:c r="W205" s="117"/>
      <x:c r="X205" s="117"/>
      <x:c r="Y205" s="117"/>
    </x:row>
    <x:row r="206">
      <x:c r="A206" s="117"/>
      <x:c r="B206" s="117"/>
      <x:c r="C206" s="117"/>
      <x:c r="D206" s="117"/>
      <x:c r="E206" s="117"/>
      <x:c r="F206" s="117"/>
      <x:c r="G206" s="117"/>
      <x:c r="H206" s="117"/>
      <x:c r="I206" s="117"/>
      <x:c r="J206" s="117"/>
      <x:c r="K206" s="117"/>
      <x:c r="L206" s="117"/>
      <x:c r="M206" s="117"/>
      <x:c r="N206" s="117"/>
      <x:c r="O206" s="117"/>
      <x:c r="P206" s="117"/>
      <x:c r="Q206" s="117"/>
      <x:c r="R206" s="117"/>
      <x:c r="S206" s="117"/>
      <x:c r="T206" s="117"/>
      <x:c r="U206" s="117"/>
      <x:c r="V206" s="117"/>
      <x:c r="W206" s="117"/>
      <x:c r="X206" s="117"/>
      <x:c r="Y206" s="117"/>
    </x:row>
    <x:row r="207">
      <x:c r="A207" s="117"/>
      <x:c r="B207" s="117"/>
      <x:c r="C207" s="117"/>
      <x:c r="D207" s="117"/>
      <x:c r="E207" s="117"/>
      <x:c r="F207" s="117"/>
      <x:c r="G207" s="117"/>
      <x:c r="H207" s="117"/>
      <x:c r="I207" s="117"/>
      <x:c r="J207" s="117"/>
      <x:c r="K207" s="117"/>
      <x:c r="L207" s="117"/>
      <x:c r="M207" s="117"/>
      <x:c r="N207" s="117"/>
      <x:c r="O207" s="117"/>
      <x:c r="P207" s="117"/>
      <x:c r="Q207" s="117"/>
      <x:c r="R207" s="117"/>
      <x:c r="S207" s="117"/>
      <x:c r="T207" s="117"/>
      <x:c r="U207" s="117"/>
      <x:c r="V207" s="117"/>
      <x:c r="W207" s="117"/>
      <x:c r="X207" s="117"/>
      <x:c r="Y207" s="117"/>
    </x:row>
    <x:row r="208">
      <x:c r="A208" s="117"/>
      <x:c r="B208" s="117"/>
      <x:c r="C208" s="117"/>
      <x:c r="D208" s="117"/>
      <x:c r="E208" s="117"/>
      <x:c r="F208" s="117"/>
      <x:c r="G208" s="117"/>
      <x:c r="H208" s="117"/>
      <x:c r="I208" s="117"/>
      <x:c r="J208" s="117"/>
      <x:c r="K208" s="117"/>
      <x:c r="L208" s="117"/>
      <x:c r="M208" s="117"/>
      <x:c r="N208" s="117"/>
      <x:c r="O208" s="117"/>
      <x:c r="P208" s="117"/>
      <x:c r="Q208" s="117"/>
      <x:c r="R208" s="117"/>
      <x:c r="S208" s="117"/>
      <x:c r="T208" s="117"/>
      <x:c r="U208" s="117"/>
      <x:c r="V208" s="117"/>
      <x:c r="W208" s="117"/>
      <x:c r="X208" s="117"/>
      <x:c r="Y208" s="117"/>
    </x:row>
    <x:row r="209">
      <x:c r="A209" s="117"/>
      <x:c r="B209" s="117"/>
      <x:c r="C209" s="117"/>
      <x:c r="D209" s="117"/>
      <x:c r="E209" s="117"/>
      <x:c r="F209" s="117"/>
      <x:c r="G209" s="117"/>
      <x:c r="H209" s="117"/>
      <x:c r="I209" s="117"/>
      <x:c r="J209" s="117"/>
      <x:c r="K209" s="117"/>
      <x:c r="L209" s="117"/>
      <x:c r="M209" s="117"/>
      <x:c r="N209" s="117"/>
      <x:c r="O209" s="117"/>
      <x:c r="P209" s="117"/>
      <x:c r="Q209" s="117"/>
      <x:c r="R209" s="117"/>
      <x:c r="S209" s="117"/>
      <x:c r="T209" s="117"/>
      <x:c r="U209" s="117"/>
      <x:c r="V209" s="117"/>
      <x:c r="W209" s="117"/>
      <x:c r="X209" s="117"/>
      <x:c r="Y209" s="117"/>
    </x:row>
    <x:row r="210">
      <x:c r="A210" s="117"/>
      <x:c r="B210" s="117"/>
      <x:c r="C210" s="117"/>
      <x:c r="D210" s="117"/>
      <x:c r="E210" s="117"/>
      <x:c r="F210" s="117"/>
      <x:c r="G210" s="117"/>
      <x:c r="H210" s="117"/>
      <x:c r="I210" s="117"/>
      <x:c r="J210" s="117"/>
      <x:c r="K210" s="117"/>
      <x:c r="L210" s="117"/>
      <x:c r="M210" s="117"/>
      <x:c r="N210" s="117"/>
      <x:c r="O210" s="117"/>
      <x:c r="P210" s="117"/>
      <x:c r="Q210" s="117"/>
      <x:c r="R210" s="117"/>
      <x:c r="S210" s="117"/>
      <x:c r="T210" s="117"/>
      <x:c r="U210" s="117"/>
      <x:c r="V210" s="117"/>
      <x:c r="W210" s="117"/>
      <x:c r="X210" s="117"/>
      <x:c r="Y210" s="117"/>
    </x:row>
    <x:row r="211">
      <x:c r="A211" s="117"/>
      <x:c r="B211" s="117"/>
      <x:c r="C211" s="117"/>
      <x:c r="D211" s="117"/>
      <x:c r="E211" s="117"/>
      <x:c r="F211" s="117"/>
      <x:c r="G211" s="117"/>
      <x:c r="H211" s="117"/>
      <x:c r="I211" s="117"/>
      <x:c r="J211" s="117"/>
      <x:c r="K211" s="117"/>
      <x:c r="L211" s="117"/>
      <x:c r="M211" s="117"/>
      <x:c r="N211" s="117"/>
      <x:c r="O211" s="117"/>
      <x:c r="P211" s="117"/>
      <x:c r="Q211" s="117"/>
      <x:c r="R211" s="117"/>
      <x:c r="S211" s="117"/>
      <x:c r="T211" s="117"/>
      <x:c r="U211" s="117"/>
      <x:c r="V211" s="117"/>
      <x:c r="W211" s="117"/>
      <x:c r="X211" s="117"/>
      <x:c r="Y211" s="117"/>
    </x:row>
    <x:row r="212">
      <x:c r="A212" s="117"/>
      <x:c r="B212" s="117"/>
      <x:c r="C212" s="117"/>
      <x:c r="D212" s="117"/>
      <x:c r="E212" s="117"/>
      <x:c r="F212" s="117"/>
      <x:c r="G212" s="117"/>
      <x:c r="H212" s="117"/>
      <x:c r="I212" s="117"/>
      <x:c r="J212" s="117"/>
      <x:c r="K212" s="117"/>
      <x:c r="L212" s="117"/>
      <x:c r="M212" s="117"/>
      <x:c r="N212" s="117"/>
      <x:c r="O212" s="117"/>
      <x:c r="P212" s="117"/>
      <x:c r="Q212" s="117"/>
      <x:c r="R212" s="117"/>
      <x:c r="S212" s="117"/>
      <x:c r="T212" s="117"/>
      <x:c r="U212" s="117"/>
      <x:c r="V212" s="117"/>
      <x:c r="W212" s="117"/>
      <x:c r="X212" s="117"/>
      <x:c r="Y212" s="117"/>
    </x:row>
    <x:row r="213">
      <x:c r="A213" s="117"/>
      <x:c r="B213" s="117"/>
      <x:c r="C213" s="117"/>
      <x:c r="D213" s="117"/>
      <x:c r="E213" s="117"/>
      <x:c r="F213" s="117"/>
      <x:c r="G213" s="117"/>
      <x:c r="H213" s="117"/>
      <x:c r="I213" s="117"/>
      <x:c r="J213" s="117"/>
      <x:c r="K213" s="117"/>
      <x:c r="L213" s="117"/>
      <x:c r="M213" s="117"/>
      <x:c r="N213" s="117"/>
      <x:c r="O213" s="117"/>
      <x:c r="P213" s="117"/>
      <x:c r="Q213" s="117"/>
      <x:c r="R213" s="117"/>
      <x:c r="S213" s="117"/>
      <x:c r="T213" s="117"/>
      <x:c r="U213" s="117"/>
      <x:c r="V213" s="117"/>
      <x:c r="W213" s="117"/>
      <x:c r="X213" s="117"/>
      <x:c r="Y213" s="117"/>
    </x:row>
    <x:row r="214">
      <x:c r="A214" s="117"/>
      <x:c r="B214" s="117"/>
      <x:c r="C214" s="117"/>
      <x:c r="D214" s="117"/>
      <x:c r="E214" s="117"/>
      <x:c r="F214" s="117"/>
      <x:c r="G214" s="117"/>
      <x:c r="H214" s="117"/>
      <x:c r="I214" s="117"/>
      <x:c r="J214" s="117"/>
      <x:c r="K214" s="117"/>
      <x:c r="L214" s="117"/>
      <x:c r="M214" s="117"/>
      <x:c r="N214" s="117"/>
      <x:c r="O214" s="117"/>
      <x:c r="P214" s="117"/>
      <x:c r="Q214" s="117"/>
      <x:c r="R214" s="117"/>
      <x:c r="S214" s="117"/>
      <x:c r="T214" s="117"/>
      <x:c r="U214" s="117"/>
      <x:c r="V214" s="117"/>
      <x:c r="W214" s="117"/>
      <x:c r="X214" s="117"/>
      <x:c r="Y214" s="117"/>
    </x:row>
    <x:row r="215">
      <x:c r="A215" s="117"/>
      <x:c r="B215" s="117"/>
      <x:c r="C215" s="117"/>
      <x:c r="D215" s="117"/>
      <x:c r="E215" s="117"/>
      <x:c r="F215" s="117"/>
      <x:c r="G215" s="117"/>
      <x:c r="H215" s="117"/>
      <x:c r="I215" s="117"/>
      <x:c r="J215" s="117"/>
      <x:c r="K215" s="117"/>
      <x:c r="L215" s="117"/>
      <x:c r="M215" s="117"/>
      <x:c r="N215" s="117"/>
      <x:c r="O215" s="117"/>
      <x:c r="P215" s="117"/>
      <x:c r="Q215" s="117"/>
      <x:c r="R215" s="117"/>
      <x:c r="S215" s="117"/>
      <x:c r="T215" s="117"/>
      <x:c r="U215" s="117"/>
      <x:c r="V215" s="117"/>
      <x:c r="W215" s="117"/>
      <x:c r="X215" s="117"/>
      <x:c r="Y215" s="117"/>
    </x:row>
    <x:row r="216">
      <x:c r="A216" s="117"/>
      <x:c r="B216" s="117"/>
      <x:c r="C216" s="117"/>
      <x:c r="D216" s="117"/>
      <x:c r="E216" s="117"/>
      <x:c r="F216" s="117"/>
      <x:c r="G216" s="117"/>
      <x:c r="H216" s="117"/>
      <x:c r="I216" s="117"/>
      <x:c r="J216" s="117"/>
      <x:c r="K216" s="117"/>
      <x:c r="L216" s="117"/>
      <x:c r="M216" s="117"/>
      <x:c r="N216" s="117"/>
      <x:c r="O216" s="117"/>
      <x:c r="P216" s="117"/>
      <x:c r="Q216" s="117"/>
      <x:c r="R216" s="117"/>
      <x:c r="S216" s="117"/>
      <x:c r="T216" s="117"/>
      <x:c r="U216" s="117"/>
      <x:c r="V216" s="117"/>
      <x:c r="W216" s="117"/>
      <x:c r="X216" s="117"/>
      <x:c r="Y216" s="117"/>
    </x:row>
    <x:row r="217">
      <x:c r="A217" s="117"/>
      <x:c r="B217" s="117"/>
      <x:c r="C217" s="117"/>
      <x:c r="D217" s="117"/>
      <x:c r="E217" s="117"/>
      <x:c r="F217" s="117"/>
      <x:c r="G217" s="117"/>
      <x:c r="H217" s="117"/>
      <x:c r="I217" s="117"/>
      <x:c r="J217" s="117"/>
      <x:c r="K217" s="117"/>
      <x:c r="L217" s="117"/>
      <x:c r="M217" s="117"/>
      <x:c r="N217" s="117"/>
      <x:c r="O217" s="117"/>
      <x:c r="P217" s="117"/>
      <x:c r="Q217" s="117"/>
      <x:c r="R217" s="117"/>
      <x:c r="S217" s="117"/>
      <x:c r="T217" s="117"/>
      <x:c r="U217" s="117"/>
      <x:c r="V217" s="117"/>
      <x:c r="W217" s="117"/>
      <x:c r="X217" s="117"/>
      <x:c r="Y217" s="117"/>
    </x:row>
    <x:row r="218">
      <x:c r="A218" s="117"/>
      <x:c r="B218" s="117"/>
      <x:c r="C218" s="117"/>
      <x:c r="D218" s="117"/>
      <x:c r="E218" s="117"/>
      <x:c r="F218" s="117"/>
      <x:c r="G218" s="117"/>
      <x:c r="H218" s="117"/>
      <x:c r="I218" s="117"/>
      <x:c r="J218" s="117"/>
      <x:c r="K218" s="117"/>
      <x:c r="L218" s="117"/>
      <x:c r="M218" s="117"/>
      <x:c r="N218" s="117"/>
      <x:c r="O218" s="117"/>
      <x:c r="P218" s="117"/>
      <x:c r="Q218" s="117"/>
      <x:c r="R218" s="117"/>
      <x:c r="S218" s="117"/>
      <x:c r="T218" s="117"/>
      <x:c r="U218" s="117"/>
      <x:c r="V218" s="117"/>
      <x:c r="W218" s="117"/>
      <x:c r="X218" s="117"/>
      <x:c r="Y218" s="117"/>
    </x:row>
    <x:row r="219">
      <x:c r="A219" s="117"/>
      <x:c r="B219" s="117"/>
      <x:c r="C219" s="117"/>
      <x:c r="D219" s="117"/>
      <x:c r="E219" s="117"/>
      <x:c r="F219" s="117"/>
      <x:c r="G219" s="117"/>
      <x:c r="H219" s="117"/>
      <x:c r="I219" s="117"/>
      <x:c r="J219" s="117"/>
      <x:c r="K219" s="117"/>
      <x:c r="L219" s="117"/>
      <x:c r="M219" s="117"/>
      <x:c r="N219" s="117"/>
      <x:c r="O219" s="117"/>
      <x:c r="P219" s="117"/>
      <x:c r="Q219" s="117"/>
      <x:c r="R219" s="117"/>
      <x:c r="S219" s="117"/>
      <x:c r="T219" s="117"/>
      <x:c r="U219" s="117"/>
      <x:c r="V219" s="117"/>
      <x:c r="W219" s="117"/>
      <x:c r="X219" s="117"/>
      <x:c r="Y219" s="117"/>
    </x:row>
    <x:row r="220">
      <x:c r="A220" s="117"/>
      <x:c r="B220" s="117"/>
      <x:c r="C220" s="117"/>
      <x:c r="D220" s="117"/>
      <x:c r="E220" s="117"/>
      <x:c r="F220" s="117"/>
      <x:c r="G220" s="117"/>
      <x:c r="H220" s="117"/>
      <x:c r="I220" s="117"/>
      <x:c r="J220" s="117"/>
      <x:c r="K220" s="117"/>
      <x:c r="L220" s="117"/>
      <x:c r="M220" s="117"/>
      <x:c r="N220" s="117"/>
      <x:c r="O220" s="117"/>
      <x:c r="P220" s="117"/>
      <x:c r="Q220" s="117"/>
      <x:c r="R220" s="117"/>
      <x:c r="S220" s="117"/>
      <x:c r="T220" s="117"/>
      <x:c r="U220" s="117"/>
      <x:c r="V220" s="117"/>
      <x:c r="W220" s="117"/>
      <x:c r="X220" s="117"/>
      <x:c r="Y220" s="117"/>
    </x:row>
    <x:row r="221">
      <x:c r="A221" s="117"/>
      <x:c r="B221" s="117"/>
      <x:c r="C221" s="117"/>
      <x:c r="D221" s="117"/>
      <x:c r="E221" s="117"/>
      <x:c r="F221" s="117"/>
      <x:c r="G221" s="117"/>
      <x:c r="H221" s="117"/>
      <x:c r="I221" s="117"/>
      <x:c r="J221" s="117"/>
      <x:c r="K221" s="117"/>
      <x:c r="L221" s="117"/>
      <x:c r="M221" s="117"/>
      <x:c r="N221" s="117"/>
      <x:c r="O221" s="117"/>
      <x:c r="P221" s="117"/>
      <x:c r="Q221" s="117"/>
      <x:c r="R221" s="117"/>
      <x:c r="S221" s="117"/>
      <x:c r="T221" s="117"/>
      <x:c r="U221" s="117"/>
      <x:c r="V221" s="117"/>
      <x:c r="W221" s="117"/>
      <x:c r="X221" s="117"/>
      <x:c r="Y221" s="117"/>
    </x:row>
    <x:row r="222">
      <x:c r="A222" s="117"/>
      <x:c r="B222" s="117"/>
      <x:c r="C222" s="117"/>
      <x:c r="D222" s="117"/>
      <x:c r="E222" s="117"/>
      <x:c r="F222" s="117"/>
      <x:c r="G222" s="117"/>
      <x:c r="H222" s="117"/>
      <x:c r="I222" s="117"/>
      <x:c r="J222" s="117"/>
      <x:c r="K222" s="117"/>
      <x:c r="L222" s="117"/>
      <x:c r="M222" s="117"/>
      <x:c r="N222" s="117"/>
      <x:c r="O222" s="117"/>
      <x:c r="P222" s="117"/>
      <x:c r="Q222" s="117"/>
      <x:c r="R222" s="117"/>
      <x:c r="S222" s="117"/>
      <x:c r="T222" s="117"/>
      <x:c r="U222" s="117"/>
      <x:c r="V222" s="117"/>
      <x:c r="W222" s="117"/>
      <x:c r="X222" s="117"/>
      <x:c r="Y222" s="117"/>
    </x:row>
    <x:row r="223">
      <x:c r="A223" s="117"/>
      <x:c r="B223" s="117"/>
      <x:c r="C223" s="117"/>
      <x:c r="D223" s="117"/>
      <x:c r="E223" s="117"/>
      <x:c r="F223" s="117"/>
      <x:c r="G223" s="117"/>
      <x:c r="H223" s="117"/>
      <x:c r="I223" s="117"/>
      <x:c r="J223" s="117"/>
      <x:c r="K223" s="117"/>
      <x:c r="L223" s="117"/>
      <x:c r="M223" s="117"/>
      <x:c r="N223" s="117"/>
      <x:c r="O223" s="117"/>
      <x:c r="P223" s="117"/>
      <x:c r="Q223" s="117"/>
      <x:c r="R223" s="117"/>
      <x:c r="S223" s="117"/>
      <x:c r="T223" s="117"/>
      <x:c r="U223" s="117"/>
      <x:c r="V223" s="117"/>
      <x:c r="W223" s="117"/>
      <x:c r="X223" s="117"/>
      <x:c r="Y223" s="117"/>
    </x:row>
    <x:row r="224">
      <x:c r="A224" s="117"/>
      <x:c r="B224" s="117"/>
      <x:c r="C224" s="117"/>
      <x:c r="D224" s="117"/>
      <x:c r="E224" s="117"/>
      <x:c r="F224" s="117"/>
      <x:c r="G224" s="117"/>
      <x:c r="H224" s="117"/>
      <x:c r="I224" s="117"/>
      <x:c r="J224" s="117"/>
      <x:c r="K224" s="117"/>
      <x:c r="L224" s="117"/>
      <x:c r="M224" s="117"/>
      <x:c r="N224" s="117"/>
      <x:c r="O224" s="117"/>
      <x:c r="P224" s="117"/>
      <x:c r="Q224" s="117"/>
      <x:c r="R224" s="117"/>
      <x:c r="S224" s="117"/>
      <x:c r="T224" s="117"/>
      <x:c r="U224" s="117"/>
      <x:c r="V224" s="117"/>
      <x:c r="W224" s="117"/>
      <x:c r="X224" s="117"/>
      <x:c r="Y224" s="117"/>
    </x:row>
    <x:row r="225">
      <x:c r="A225" s="117"/>
      <x:c r="B225" s="117"/>
      <x:c r="C225" s="117"/>
      <x:c r="D225" s="117"/>
      <x:c r="E225" s="117"/>
      <x:c r="F225" s="117"/>
      <x:c r="G225" s="117"/>
      <x:c r="H225" s="117"/>
      <x:c r="I225" s="117"/>
      <x:c r="J225" s="117"/>
      <x:c r="K225" s="117"/>
      <x:c r="L225" s="117"/>
      <x:c r="M225" s="117"/>
      <x:c r="N225" s="117"/>
      <x:c r="O225" s="117"/>
      <x:c r="P225" s="117"/>
      <x:c r="Q225" s="117"/>
      <x:c r="R225" s="117"/>
      <x:c r="S225" s="117"/>
      <x:c r="T225" s="117"/>
      <x:c r="U225" s="117"/>
      <x:c r="V225" s="117"/>
      <x:c r="W225" s="117"/>
      <x:c r="X225" s="117"/>
      <x:c r="Y225" s="117"/>
    </x:row>
    <x:row r="226">
      <x:c r="A226" s="117"/>
      <x:c r="B226" s="117"/>
      <x:c r="C226" s="117"/>
      <x:c r="D226" s="117"/>
      <x:c r="E226" s="117"/>
      <x:c r="F226" s="117"/>
      <x:c r="G226" s="117"/>
      <x:c r="H226" s="117"/>
      <x:c r="I226" s="117"/>
      <x:c r="J226" s="117"/>
      <x:c r="K226" s="117"/>
      <x:c r="L226" s="117"/>
      <x:c r="M226" s="117"/>
      <x:c r="N226" s="117"/>
      <x:c r="O226" s="117"/>
      <x:c r="P226" s="117"/>
      <x:c r="Q226" s="117"/>
      <x:c r="R226" s="117"/>
      <x:c r="S226" s="117"/>
      <x:c r="T226" s="117"/>
      <x:c r="U226" s="117"/>
      <x:c r="V226" s="117"/>
      <x:c r="W226" s="117"/>
      <x:c r="X226" s="117"/>
      <x:c r="Y226" s="117"/>
    </x:row>
    <x:row r="227">
      <x:c r="A227" s="117"/>
      <x:c r="B227" s="117"/>
      <x:c r="C227" s="117"/>
      <x:c r="D227" s="117"/>
      <x:c r="E227" s="117"/>
      <x:c r="F227" s="117"/>
      <x:c r="G227" s="117"/>
      <x:c r="H227" s="117"/>
      <x:c r="I227" s="117"/>
      <x:c r="J227" s="117"/>
      <x:c r="K227" s="117"/>
      <x:c r="L227" s="117"/>
      <x:c r="M227" s="117"/>
      <x:c r="N227" s="117"/>
      <x:c r="O227" s="117"/>
      <x:c r="P227" s="117"/>
      <x:c r="Q227" s="117"/>
      <x:c r="R227" s="117"/>
      <x:c r="S227" s="117"/>
      <x:c r="T227" s="117"/>
      <x:c r="U227" s="117"/>
      <x:c r="V227" s="117"/>
      <x:c r="W227" s="117"/>
      <x:c r="X227" s="117"/>
      <x:c r="Y227" s="117"/>
    </x:row>
    <x:row r="228">
      <x:c r="A228" s="117"/>
      <x:c r="B228" s="117"/>
      <x:c r="C228" s="117"/>
      <x:c r="D228" s="117"/>
      <x:c r="E228" s="117"/>
      <x:c r="F228" s="117"/>
      <x:c r="G228" s="117"/>
      <x:c r="H228" s="117"/>
      <x:c r="I228" s="117"/>
      <x:c r="J228" s="117"/>
      <x:c r="K228" s="117"/>
      <x:c r="L228" s="117"/>
      <x:c r="M228" s="117"/>
      <x:c r="N228" s="117"/>
      <x:c r="O228" s="117"/>
      <x:c r="P228" s="117"/>
      <x:c r="Q228" s="117"/>
      <x:c r="R228" s="117"/>
      <x:c r="S228" s="117"/>
      <x:c r="T228" s="117"/>
      <x:c r="U228" s="117"/>
      <x:c r="V228" s="117"/>
      <x:c r="W228" s="117"/>
      <x:c r="X228" s="117"/>
      <x:c r="Y228" s="117"/>
    </x:row>
    <x:row r="229">
      <x:c r="A229" s="117"/>
      <x:c r="B229" s="117"/>
      <x:c r="C229" s="117"/>
      <x:c r="D229" s="117"/>
      <x:c r="E229" s="117"/>
      <x:c r="F229" s="117"/>
      <x:c r="G229" s="117"/>
      <x:c r="H229" s="117"/>
      <x:c r="I229" s="117"/>
      <x:c r="J229" s="117"/>
      <x:c r="K229" s="117"/>
      <x:c r="L229" s="117"/>
      <x:c r="M229" s="117"/>
      <x:c r="N229" s="117"/>
      <x:c r="O229" s="117"/>
      <x:c r="P229" s="117"/>
      <x:c r="Q229" s="117"/>
      <x:c r="R229" s="117"/>
      <x:c r="S229" s="117"/>
      <x:c r="T229" s="117"/>
      <x:c r="U229" s="117"/>
      <x:c r="V229" s="117"/>
      <x:c r="W229" s="117"/>
      <x:c r="X229" s="117"/>
      <x:c r="Y229" s="117"/>
    </x:row>
    <x:row r="230">
      <x:c r="A230" s="117"/>
      <x:c r="B230" s="117"/>
      <x:c r="C230" s="117"/>
      <x:c r="D230" s="117"/>
      <x:c r="E230" s="117"/>
      <x:c r="F230" s="117"/>
      <x:c r="G230" s="117"/>
      <x:c r="H230" s="117"/>
      <x:c r="I230" s="117"/>
      <x:c r="J230" s="117"/>
      <x:c r="K230" s="117"/>
      <x:c r="L230" s="117"/>
      <x:c r="M230" s="117"/>
      <x:c r="N230" s="117"/>
      <x:c r="O230" s="117"/>
      <x:c r="P230" s="117"/>
      <x:c r="Q230" s="117"/>
      <x:c r="R230" s="117"/>
      <x:c r="S230" s="117"/>
      <x:c r="T230" s="117"/>
      <x:c r="U230" s="117"/>
      <x:c r="V230" s="117"/>
      <x:c r="W230" s="117"/>
      <x:c r="X230" s="117"/>
      <x:c r="Y230" s="117"/>
    </x:row>
    <x:row r="231">
      <x:c r="A231" s="117"/>
      <x:c r="B231" s="117"/>
      <x:c r="C231" s="117"/>
      <x:c r="D231" s="117"/>
      <x:c r="E231" s="117"/>
      <x:c r="F231" s="117"/>
      <x:c r="G231" s="117"/>
      <x:c r="H231" s="117"/>
      <x:c r="I231" s="117"/>
      <x:c r="J231" s="117"/>
      <x:c r="K231" s="117"/>
      <x:c r="L231" s="117"/>
      <x:c r="M231" s="117"/>
      <x:c r="N231" s="117"/>
      <x:c r="O231" s="117"/>
      <x:c r="P231" s="117"/>
      <x:c r="Q231" s="117"/>
      <x:c r="R231" s="117"/>
      <x:c r="S231" s="117"/>
      <x:c r="T231" s="117"/>
      <x:c r="U231" s="117"/>
      <x:c r="V231" s="117"/>
      <x:c r="W231" s="117"/>
      <x:c r="X231" s="117"/>
      <x:c r="Y231" s="117"/>
    </x:row>
    <x:row r="232">
      <x:c r="A232" s="117"/>
      <x:c r="B232" s="117"/>
      <x:c r="C232" s="117"/>
      <x:c r="D232" s="117"/>
      <x:c r="E232" s="117"/>
      <x:c r="F232" s="117"/>
      <x:c r="G232" s="117"/>
      <x:c r="H232" s="117"/>
      <x:c r="I232" s="117"/>
      <x:c r="J232" s="117"/>
      <x:c r="K232" s="117"/>
      <x:c r="L232" s="117"/>
      <x:c r="M232" s="117"/>
      <x:c r="N232" s="117"/>
      <x:c r="O232" s="117"/>
      <x:c r="P232" s="117"/>
      <x:c r="Q232" s="117"/>
      <x:c r="R232" s="117"/>
      <x:c r="S232" s="117"/>
      <x:c r="T232" s="117"/>
      <x:c r="U232" s="117"/>
      <x:c r="V232" s="117"/>
      <x:c r="W232" s="117"/>
      <x:c r="X232" s="117"/>
      <x:c r="Y232" s="117"/>
    </x:row>
    <x:row r="233">
      <x:c r="A233" s="117"/>
      <x:c r="B233" s="117"/>
      <x:c r="C233" s="117"/>
      <x:c r="D233" s="117"/>
      <x:c r="E233" s="117"/>
      <x:c r="F233" s="117"/>
      <x:c r="G233" s="117"/>
      <x:c r="H233" s="117"/>
      <x:c r="I233" s="117"/>
      <x:c r="J233" s="117"/>
      <x:c r="K233" s="117"/>
      <x:c r="L233" s="117"/>
      <x:c r="M233" s="117"/>
      <x:c r="N233" s="117"/>
      <x:c r="O233" s="117"/>
      <x:c r="P233" s="117"/>
      <x:c r="Q233" s="117"/>
      <x:c r="R233" s="117"/>
      <x:c r="S233" s="117"/>
      <x:c r="T233" s="117"/>
      <x:c r="U233" s="117"/>
      <x:c r="V233" s="117"/>
      <x:c r="W233" s="117"/>
      <x:c r="X233" s="117"/>
      <x:c r="Y233" s="117"/>
    </x:row>
    <x:row r="234">
      <x:c r="A234" s="117"/>
      <x:c r="B234" s="117"/>
      <x:c r="C234" s="117"/>
      <x:c r="D234" s="117"/>
      <x:c r="E234" s="117"/>
      <x:c r="F234" s="117"/>
      <x:c r="G234" s="117"/>
      <x:c r="H234" s="117"/>
      <x:c r="I234" s="117"/>
      <x:c r="J234" s="117"/>
      <x:c r="K234" s="117"/>
      <x:c r="L234" s="117"/>
      <x:c r="M234" s="117"/>
      <x:c r="N234" s="117"/>
      <x:c r="O234" s="117"/>
      <x:c r="P234" s="117"/>
      <x:c r="Q234" s="117"/>
      <x:c r="R234" s="117"/>
      <x:c r="S234" s="117"/>
      <x:c r="T234" s="117"/>
      <x:c r="U234" s="117"/>
      <x:c r="V234" s="117"/>
      <x:c r="W234" s="117"/>
      <x:c r="X234" s="117"/>
      <x:c r="Y234" s="117"/>
    </x:row>
    <x:row r="235">
      <x:c r="A235" s="117"/>
      <x:c r="B235" s="117"/>
      <x:c r="C235" s="117"/>
      <x:c r="D235" s="117"/>
      <x:c r="E235" s="117"/>
      <x:c r="F235" s="117"/>
      <x:c r="G235" s="117"/>
      <x:c r="H235" s="117"/>
      <x:c r="I235" s="117"/>
      <x:c r="J235" s="117"/>
      <x:c r="K235" s="117"/>
      <x:c r="L235" s="117"/>
      <x:c r="M235" s="117"/>
      <x:c r="N235" s="117"/>
      <x:c r="O235" s="117"/>
      <x:c r="P235" s="117"/>
      <x:c r="Q235" s="117"/>
      <x:c r="R235" s="117"/>
      <x:c r="S235" s="117"/>
      <x:c r="T235" s="117"/>
      <x:c r="U235" s="117"/>
      <x:c r="V235" s="117"/>
      <x:c r="W235" s="117"/>
      <x:c r="X235" s="117"/>
      <x:c r="Y235" s="117"/>
    </x:row>
    <x:row r="236">
      <x:c r="A236" s="117"/>
      <x:c r="B236" s="117"/>
      <x:c r="C236" s="117"/>
      <x:c r="D236" s="117"/>
      <x:c r="E236" s="117"/>
      <x:c r="F236" s="117"/>
      <x:c r="G236" s="117"/>
      <x:c r="H236" s="117"/>
      <x:c r="I236" s="117"/>
      <x:c r="J236" s="117"/>
      <x:c r="K236" s="117"/>
      <x:c r="L236" s="117"/>
      <x:c r="M236" s="117"/>
      <x:c r="N236" s="117"/>
      <x:c r="O236" s="117"/>
      <x:c r="P236" s="117"/>
      <x:c r="Q236" s="117"/>
      <x:c r="R236" s="117"/>
      <x:c r="S236" s="117"/>
      <x:c r="T236" s="117"/>
      <x:c r="U236" s="117"/>
      <x:c r="V236" s="117"/>
      <x:c r="W236" s="117"/>
      <x:c r="X236" s="117"/>
      <x:c r="Y236" s="117"/>
    </x:row>
    <x:row r="237">
      <x:c r="A237" s="117"/>
      <x:c r="B237" s="117"/>
      <x:c r="C237" s="117"/>
      <x:c r="D237" s="117"/>
      <x:c r="E237" s="117"/>
      <x:c r="F237" s="117"/>
      <x:c r="G237" s="117"/>
      <x:c r="H237" s="117"/>
      <x:c r="I237" s="117"/>
      <x:c r="J237" s="117"/>
      <x:c r="K237" s="117"/>
      <x:c r="L237" s="117"/>
      <x:c r="M237" s="117"/>
      <x:c r="N237" s="117"/>
      <x:c r="O237" s="117"/>
      <x:c r="P237" s="117"/>
      <x:c r="Q237" s="117"/>
      <x:c r="R237" s="117"/>
      <x:c r="S237" s="117"/>
      <x:c r="T237" s="117"/>
      <x:c r="U237" s="117"/>
      <x:c r="V237" s="117"/>
      <x:c r="W237" s="117"/>
      <x:c r="X237" s="117"/>
      <x:c r="Y237" s="117"/>
    </x:row>
    <x:row r="238">
      <x:c r="A238" s="117"/>
      <x:c r="B238" s="117"/>
      <x:c r="C238" s="117"/>
      <x:c r="D238" s="117"/>
      <x:c r="E238" s="117"/>
      <x:c r="F238" s="117"/>
      <x:c r="G238" s="117"/>
      <x:c r="H238" s="117"/>
      <x:c r="I238" s="117"/>
      <x:c r="J238" s="117"/>
      <x:c r="K238" s="117"/>
      <x:c r="L238" s="117"/>
      <x:c r="M238" s="117"/>
      <x:c r="N238" s="117"/>
      <x:c r="O238" s="117"/>
      <x:c r="P238" s="117"/>
      <x:c r="Q238" s="117"/>
      <x:c r="R238" s="117"/>
      <x:c r="S238" s="117"/>
      <x:c r="T238" s="117"/>
      <x:c r="U238" s="117"/>
      <x:c r="V238" s="117"/>
      <x:c r="W238" s="117"/>
      <x:c r="X238" s="117"/>
      <x:c r="Y238" s="117"/>
    </x:row>
    <x:row r="239">
      <x:c r="A239" s="117"/>
      <x:c r="B239" s="117"/>
      <x:c r="C239" s="117"/>
      <x:c r="D239" s="117"/>
      <x:c r="E239" s="117"/>
      <x:c r="F239" s="117"/>
      <x:c r="G239" s="117"/>
      <x:c r="H239" s="117"/>
      <x:c r="I239" s="117"/>
      <x:c r="J239" s="117"/>
      <x:c r="K239" s="117"/>
      <x:c r="L239" s="117"/>
      <x:c r="M239" s="117"/>
      <x:c r="N239" s="117"/>
      <x:c r="O239" s="117"/>
      <x:c r="P239" s="117"/>
      <x:c r="Q239" s="117"/>
      <x:c r="R239" s="117"/>
      <x:c r="S239" s="117"/>
      <x:c r="T239" s="117"/>
      <x:c r="U239" s="117"/>
      <x:c r="V239" s="117"/>
      <x:c r="W239" s="117"/>
      <x:c r="X239" s="117"/>
      <x:c r="Y239" s="117"/>
    </x:row>
    <x:row r="240">
      <x:c r="A240" s="117"/>
      <x:c r="B240" s="117"/>
      <x:c r="C240" s="117"/>
      <x:c r="D240" s="117"/>
      <x:c r="E240" s="117"/>
      <x:c r="F240" s="117"/>
      <x:c r="G240" s="117"/>
      <x:c r="H240" s="117"/>
      <x:c r="I240" s="117"/>
      <x:c r="J240" s="117"/>
      <x:c r="K240" s="117"/>
      <x:c r="L240" s="117"/>
      <x:c r="M240" s="117"/>
      <x:c r="N240" s="117"/>
      <x:c r="O240" s="117"/>
      <x:c r="P240" s="117"/>
      <x:c r="Q240" s="117"/>
      <x:c r="R240" s="117"/>
      <x:c r="S240" s="117"/>
      <x:c r="T240" s="117"/>
      <x:c r="U240" s="117"/>
      <x:c r="V240" s="117"/>
      <x:c r="W240" s="117"/>
      <x:c r="X240" s="117"/>
      <x:c r="Y240" s="117"/>
    </x:row>
    <x:row r="241">
      <x:c r="A241" s="117"/>
      <x:c r="B241" s="117"/>
      <x:c r="C241" s="117"/>
      <x:c r="D241" s="117"/>
      <x:c r="E241" s="117"/>
      <x:c r="F241" s="117"/>
      <x:c r="G241" s="117"/>
      <x:c r="H241" s="117"/>
      <x:c r="I241" s="117"/>
      <x:c r="J241" s="117"/>
      <x:c r="K241" s="117"/>
      <x:c r="L241" s="117"/>
      <x:c r="M241" s="117"/>
      <x:c r="N241" s="117"/>
      <x:c r="O241" s="117"/>
      <x:c r="P241" s="117"/>
      <x:c r="Q241" s="117"/>
      <x:c r="R241" s="117"/>
      <x:c r="S241" s="117"/>
      <x:c r="T241" s="117"/>
      <x:c r="U241" s="117"/>
      <x:c r="V241" s="117"/>
      <x:c r="W241" s="117"/>
      <x:c r="X241" s="117"/>
      <x:c r="Y241" s="117"/>
    </x:row>
    <x:row r="242">
      <x:c r="A242" s="117"/>
      <x:c r="B242" s="117"/>
      <x:c r="C242" s="117"/>
      <x:c r="D242" s="117"/>
      <x:c r="E242" s="117"/>
      <x:c r="F242" s="117"/>
      <x:c r="G242" s="117"/>
      <x:c r="H242" s="117"/>
      <x:c r="I242" s="117"/>
      <x:c r="J242" s="117"/>
      <x:c r="K242" s="117"/>
      <x:c r="L242" s="117"/>
      <x:c r="M242" s="117"/>
      <x:c r="N242" s="117"/>
      <x:c r="O242" s="117"/>
      <x:c r="P242" s="117"/>
      <x:c r="Q242" s="117"/>
      <x:c r="R242" s="117"/>
      <x:c r="S242" s="117"/>
      <x:c r="T242" s="117"/>
      <x:c r="U242" s="117"/>
      <x:c r="V242" s="117"/>
      <x:c r="W242" s="117"/>
      <x:c r="X242" s="117"/>
      <x:c r="Y242" s="117"/>
    </x:row>
    <x:row r="243">
      <x:c r="A243" s="117"/>
      <x:c r="B243" s="117"/>
      <x:c r="C243" s="117"/>
      <x:c r="D243" s="117"/>
      <x:c r="E243" s="117"/>
      <x:c r="F243" s="117"/>
      <x:c r="G243" s="117"/>
      <x:c r="H243" s="117"/>
      <x:c r="I243" s="117"/>
      <x:c r="J243" s="117"/>
      <x:c r="K243" s="117"/>
      <x:c r="L243" s="117"/>
      <x:c r="M243" s="117"/>
      <x:c r="N243" s="117"/>
      <x:c r="O243" s="117"/>
      <x:c r="P243" s="117"/>
      <x:c r="Q243" s="117"/>
      <x:c r="R243" s="117"/>
      <x:c r="S243" s="117"/>
      <x:c r="T243" s="117"/>
      <x:c r="U243" s="117"/>
      <x:c r="V243" s="117"/>
      <x:c r="W243" s="117"/>
      <x:c r="X243" s="117"/>
      <x:c r="Y243" s="117"/>
    </x:row>
    <x:row r="244">
      <x:c r="A244" s="117"/>
      <x:c r="B244" s="117"/>
      <x:c r="C244" s="117"/>
      <x:c r="D244" s="117"/>
      <x:c r="E244" s="117"/>
      <x:c r="F244" s="117"/>
      <x:c r="G244" s="117"/>
      <x:c r="H244" s="117"/>
      <x:c r="I244" s="117"/>
      <x:c r="J244" s="117"/>
      <x:c r="K244" s="117"/>
      <x:c r="L244" s="117"/>
      <x:c r="M244" s="117"/>
      <x:c r="N244" s="117"/>
      <x:c r="O244" s="117"/>
      <x:c r="P244" s="117"/>
      <x:c r="Q244" s="117"/>
      <x:c r="R244" s="117"/>
      <x:c r="S244" s="117"/>
      <x:c r="T244" s="117"/>
      <x:c r="U244" s="117"/>
      <x:c r="V244" s="117"/>
      <x:c r="W244" s="117"/>
      <x:c r="X244" s="117"/>
      <x:c r="Y244" s="117"/>
    </x:row>
    <x:row r="245">
      <x:c r="A245" s="117"/>
      <x:c r="B245" s="117"/>
      <x:c r="C245" s="117"/>
      <x:c r="D245" s="117"/>
      <x:c r="E245" s="117"/>
      <x:c r="F245" s="117"/>
      <x:c r="G245" s="117"/>
      <x:c r="H245" s="117"/>
      <x:c r="I245" s="117"/>
      <x:c r="J245" s="117"/>
      <x:c r="K245" s="117"/>
      <x:c r="L245" s="117"/>
      <x:c r="M245" s="117"/>
      <x:c r="N245" s="117"/>
      <x:c r="O245" s="117"/>
      <x:c r="P245" s="117"/>
      <x:c r="Q245" s="117"/>
      <x:c r="R245" s="117"/>
      <x:c r="S245" s="117"/>
      <x:c r="T245" s="117"/>
      <x:c r="U245" s="117"/>
      <x:c r="V245" s="117"/>
      <x:c r="W245" s="117"/>
      <x:c r="X245" s="117"/>
      <x:c r="Y245" s="117"/>
    </x:row>
    <x:row r="246">
      <x:c r="A246" s="117"/>
      <x:c r="B246" s="117"/>
      <x:c r="C246" s="117"/>
      <x:c r="D246" s="117"/>
      <x:c r="E246" s="117"/>
      <x:c r="F246" s="117"/>
      <x:c r="G246" s="117"/>
      <x:c r="H246" s="117"/>
      <x:c r="I246" s="117"/>
      <x:c r="J246" s="117"/>
      <x:c r="K246" s="117"/>
      <x:c r="L246" s="117"/>
      <x:c r="M246" s="117"/>
      <x:c r="N246" s="117"/>
      <x:c r="O246" s="117"/>
      <x:c r="P246" s="117"/>
      <x:c r="Q246" s="117"/>
      <x:c r="R246" s="117"/>
      <x:c r="S246" s="117"/>
      <x:c r="T246" s="117"/>
      <x:c r="U246" s="117"/>
      <x:c r="V246" s="117"/>
      <x:c r="W246" s="117"/>
      <x:c r="X246" s="117"/>
      <x:c r="Y246" s="117"/>
    </x:row>
    <x:row r="247">
      <x:c r="A247" s="117"/>
      <x:c r="B247" s="117"/>
      <x:c r="C247" s="117"/>
      <x:c r="D247" s="117"/>
      <x:c r="E247" s="117"/>
      <x:c r="F247" s="117"/>
      <x:c r="G247" s="117"/>
      <x:c r="H247" s="117"/>
      <x:c r="I247" s="117"/>
      <x:c r="J247" s="117"/>
      <x:c r="K247" s="117"/>
      <x:c r="L247" s="117"/>
      <x:c r="M247" s="117"/>
      <x:c r="N247" s="117"/>
      <x:c r="O247" s="117"/>
      <x:c r="P247" s="117"/>
      <x:c r="Q247" s="117"/>
      <x:c r="R247" s="117"/>
      <x:c r="S247" s="117"/>
      <x:c r="T247" s="117"/>
      <x:c r="U247" s="117"/>
      <x:c r="V247" s="117"/>
      <x:c r="W247" s="117"/>
      <x:c r="X247" s="117"/>
      <x:c r="Y247" s="117"/>
    </x:row>
    <x:row r="248">
      <x:c r="A248" s="117"/>
      <x:c r="B248" s="117"/>
      <x:c r="C248" s="117"/>
      <x:c r="D248" s="117"/>
      <x:c r="E248" s="117"/>
      <x:c r="F248" s="117"/>
      <x:c r="G248" s="117"/>
      <x:c r="H248" s="117"/>
      <x:c r="I248" s="117"/>
      <x:c r="J248" s="117"/>
      <x:c r="K248" s="117"/>
      <x:c r="L248" s="117"/>
      <x:c r="M248" s="117"/>
      <x:c r="N248" s="117"/>
      <x:c r="O248" s="117"/>
      <x:c r="P248" s="117"/>
      <x:c r="Q248" s="117"/>
      <x:c r="R248" s="117"/>
      <x:c r="S248" s="117"/>
      <x:c r="T248" s="117"/>
      <x:c r="U248" s="117"/>
      <x:c r="V248" s="117"/>
      <x:c r="W248" s="117"/>
      <x:c r="X248" s="117"/>
      <x:c r="Y248" s="117"/>
    </x:row>
    <x:row r="249">
      <x:c r="A249" s="117"/>
      <x:c r="B249" s="117"/>
      <x:c r="C249" s="117"/>
      <x:c r="D249" s="117"/>
      <x:c r="E249" s="117"/>
      <x:c r="F249" s="117"/>
      <x:c r="G249" s="117"/>
      <x:c r="H249" s="117"/>
      <x:c r="I249" s="117"/>
      <x:c r="J249" s="117"/>
      <x:c r="K249" s="117"/>
      <x:c r="L249" s="117"/>
      <x:c r="M249" s="117"/>
      <x:c r="N249" s="117"/>
      <x:c r="O249" s="117"/>
      <x:c r="P249" s="117"/>
      <x:c r="Q249" s="117"/>
      <x:c r="R249" s="117"/>
      <x:c r="S249" s="117"/>
      <x:c r="T249" s="117"/>
      <x:c r="U249" s="117"/>
      <x:c r="V249" s="117"/>
      <x:c r="W249" s="117"/>
      <x:c r="X249" s="117"/>
      <x:c r="Y249" s="117"/>
    </x:row>
    <x:row r="250">
      <x:c r="A250" s="117"/>
      <x:c r="B250" s="117"/>
      <x:c r="C250" s="117"/>
      <x:c r="D250" s="117"/>
      <x:c r="E250" s="117"/>
      <x:c r="F250" s="117"/>
      <x:c r="G250" s="117"/>
      <x:c r="H250" s="117"/>
      <x:c r="I250" s="117"/>
      <x:c r="J250" s="117"/>
      <x:c r="K250" s="117"/>
      <x:c r="L250" s="117"/>
      <x:c r="M250" s="117"/>
      <x:c r="N250" s="117"/>
      <x:c r="O250" s="117"/>
      <x:c r="P250" s="117"/>
      <x:c r="Q250" s="117"/>
      <x:c r="R250" s="117"/>
      <x:c r="S250" s="117"/>
      <x:c r="T250" s="117"/>
      <x:c r="U250" s="117"/>
      <x:c r="V250" s="117"/>
      <x:c r="W250" s="117"/>
      <x:c r="X250" s="117"/>
      <x:c r="Y250" s="117"/>
    </x:row>
  </x:sheetData>
  <x:mergeCells>
    <x:mergeCell ref="A1:H2"/>
    <x:mergeCell ref="A3:H3"/>
    <x:mergeCell ref="A5:B5"/>
    <x:mergeCell ref="C5:D5"/>
    <x:mergeCell ref="E5:F5"/>
    <x:mergeCell ref="G5:H5"/>
    <x:mergeCell ref="A6:B7"/>
    <x:mergeCell ref="C6:D7"/>
    <x:mergeCell ref="E6:F7"/>
    <x:mergeCell ref="G6:H7"/>
    <x:mergeCell ref="A9:H9"/>
    <x:mergeCell ref="A10:H14"/>
    <x:mergeCell ref="E16:H16"/>
  </x:mergeCells>
  <x:pageMargins left="0.7" right="0.7" top="0.75" bottom="0.75" header="0.3" footer="0.3"/>
  <x:drawing xmlns:r="http://schemas.openxmlformats.org/officeDocument/2006/relationships" r:id="R64c2028635fa43db"/>
</x:worksheet>
</file>

<file path=xl/worksheets/sheet2.xml><?xml version="1.0" encoding="utf-8"?>
<x:worksheet xmlns:x="http://schemas.openxmlformats.org/spreadsheetml/2006/main">
  <x:sheetFormatPr defaultRowHeight="15"/>
  <x:cols>
    <x:col min="1" max="1" width="25" hidden="0" customWidth="1"/>
    <x:col min="2" max="2" width="39" hidden="0" customWidth="1"/>
    <x:col min="3" max="3" width="25" hidden="0" customWidth="1"/>
    <x:col min="4" max="4" width="44" hidden="0" customWidth="1"/>
  </x:cols>
  <x:sheetData>
    <x:row r="1">
      <x:c r="A1" s="10" t="str">
        <x:v>Project 2 — Enterprise Cybersecurity Risk Assessment</x:v>
      </x:c>
      <x:c r="B1" s="10"/>
      <x:c r="C1" s="10"/>
      <x:c r="D1" s="10"/>
      <x:c r="E1" s="10"/>
      <x:c r="F1" s="10"/>
      <x:c r="G1" s="10"/>
      <x:c r="H1" s="10"/>
      <x:c r="I1" s="117"/>
      <x:c r="J1" s="117"/>
      <x:c r="K1" s="117"/>
      <x:c r="L1" s="117"/>
      <x:c r="M1" s="117"/>
      <x:c r="N1" s="117"/>
      <x:c r="O1" s="117"/>
      <x:c r="P1" s="117"/>
      <x:c r="Q1" s="117"/>
      <x:c r="R1" s="117"/>
      <x:c r="S1" s="117"/>
      <x:c r="T1" s="117"/>
      <x:c r="U1" s="117"/>
      <x:c r="V1" s="117"/>
      <x:c r="W1" s="117"/>
      <x:c r="X1" s="117"/>
      <x:c r="Y1" s="117"/>
    </x:row>
    <x:row r="2">
      <x:c r="A2" s="10"/>
      <x:c r="B2" s="10"/>
      <x:c r="C2" s="10"/>
      <x:c r="D2" s="10"/>
      <x:c r="E2" s="10"/>
      <x:c r="F2" s="10"/>
      <x:c r="G2" s="10"/>
      <x:c r="H2" s="10"/>
      <x:c r="I2" s="117"/>
      <x:c r="J2" s="117"/>
      <x:c r="K2" s="117"/>
      <x:c r="L2" s="117"/>
      <x:c r="M2" s="117"/>
      <x:c r="N2" s="117"/>
      <x:c r="O2" s="117"/>
      <x:c r="P2" s="117"/>
      <x:c r="Q2" s="117"/>
      <x:c r="R2" s="117"/>
      <x:c r="S2" s="117"/>
      <x:c r="T2" s="117"/>
      <x:c r="U2" s="117"/>
      <x:c r="V2" s="117"/>
      <x:c r="W2" s="117"/>
      <x:c r="X2" s="117"/>
      <x:c r="Y2" s="117"/>
    </x:row>
    <x:row r="3">
      <x:c r="A3" s="118" t="str">
        <x:v>Fictional Jamaican Mid-Sized Company | GRC / Enterprise Risk | August 2026</x:v>
      </x:c>
      <x:c r="B3" s="118"/>
      <x:c r="C3" s="118"/>
      <x:c r="D3" s="118"/>
      <x:c r="E3" s="118"/>
      <x:c r="F3" s="118"/>
      <x:c r="G3" s="118"/>
      <x:c r="H3" s="118"/>
      <x:c r="I3" s="117"/>
      <x:c r="J3" s="117"/>
      <x:c r="K3" s="117"/>
      <x:c r="L3" s="117"/>
      <x:c r="M3" s="117"/>
      <x:c r="N3" s="117"/>
      <x:c r="O3" s="117"/>
      <x:c r="P3" s="117"/>
      <x:c r="Q3" s="117"/>
      <x:c r="R3" s="117"/>
      <x:c r="S3" s="117"/>
      <x:c r="T3" s="117"/>
      <x:c r="U3" s="117"/>
      <x:c r="V3" s="117"/>
      <x:c r="W3" s="117"/>
      <x:c r="X3" s="117"/>
      <x:c r="Y3" s="117"/>
    </x:row>
    <x:row r="4">
      <x:c r="A4" s="117"/>
      <x:c r="B4" s="117"/>
      <x:c r="C4" s="117"/>
      <x:c r="D4" s="117"/>
      <x:c r="E4" s="117"/>
      <x:c r="F4" s="117"/>
      <x:c r="G4" s="117"/>
      <x:c r="H4" s="117"/>
      <x:c r="I4" s="117"/>
      <x:c r="J4" s="117"/>
      <x:c r="K4" s="117"/>
      <x:c r="L4" s="117"/>
      <x:c r="M4" s="117"/>
      <x:c r="N4" s="117"/>
      <x:c r="O4" s="117"/>
      <x:c r="P4" s="117"/>
      <x:c r="Q4" s="117"/>
      <x:c r="R4" s="117"/>
      <x:c r="S4" s="117"/>
      <x:c r="T4" s="117"/>
      <x:c r="U4" s="117"/>
      <x:c r="V4" s="117"/>
      <x:c r="W4" s="117"/>
      <x:c r="X4" s="117"/>
      <x:c r="Y4" s="117"/>
    </x:row>
    <x:row r="5">
      <x:c r="A5" s="136" t="str">
        <x:v>Organization</x:v>
      </x:c>
      <x:c r="B5" s="137" t="str">
        <x:v>IslandLink Business Services Ltd. (Fictional)</x:v>
      </x:c>
      <x:c r="C5" s="117"/>
      <x:c r="D5" s="117"/>
      <x:c r="E5" s="117"/>
      <x:c r="F5" s="117"/>
      <x:c r="G5" s="117"/>
      <x:c r="H5" s="117"/>
      <x:c r="I5" s="117"/>
      <x:c r="J5" s="117"/>
      <x:c r="K5" s="117"/>
      <x:c r="L5" s="117"/>
      <x:c r="M5" s="117"/>
      <x:c r="N5" s="117"/>
      <x:c r="O5" s="117"/>
      <x:c r="P5" s="117"/>
      <x:c r="Q5" s="117"/>
      <x:c r="R5" s="117"/>
      <x:c r="S5" s="117"/>
      <x:c r="T5" s="117"/>
      <x:c r="U5" s="117"/>
      <x:c r="V5" s="117"/>
      <x:c r="W5" s="117"/>
      <x:c r="X5" s="117"/>
      <x:c r="Y5" s="117"/>
    </x:row>
    <x:row r="6">
      <x:c r="A6" s="136" t="str">
        <x:v>Industry</x:v>
      </x:c>
      <x:c r="B6" s="137" t="str">
        <x:v>Business services and distribution support</x:v>
      </x:c>
      <x:c r="C6" s="117"/>
      <x:c r="D6" s="117"/>
      <x:c r="E6" s="117"/>
      <x:c r="F6" s="117"/>
      <x:c r="G6" s="117"/>
      <x:c r="H6" s="117"/>
      <x:c r="I6" s="117"/>
      <x:c r="J6" s="117"/>
      <x:c r="K6" s="117"/>
      <x:c r="L6" s="117"/>
      <x:c r="M6" s="117"/>
      <x:c r="N6" s="117"/>
      <x:c r="O6" s="117"/>
      <x:c r="P6" s="117"/>
      <x:c r="Q6" s="117"/>
      <x:c r="R6" s="117"/>
      <x:c r="S6" s="117"/>
      <x:c r="T6" s="117"/>
      <x:c r="U6" s="117"/>
      <x:c r="V6" s="117"/>
      <x:c r="W6" s="117"/>
      <x:c r="X6" s="117"/>
      <x:c r="Y6" s="117"/>
    </x:row>
    <x:row r="7">
      <x:c r="A7" s="136" t="str">
        <x:v>Primary Jurisdiction</x:v>
      </x:c>
      <x:c r="B7" s="137" t="str">
        <x:v>Jamaica</x:v>
      </x:c>
      <x:c r="C7" s="117"/>
      <x:c r="D7" s="117"/>
      <x:c r="E7" s="117"/>
      <x:c r="F7" s="117"/>
      <x:c r="G7" s="117"/>
      <x:c r="H7" s="117"/>
      <x:c r="I7" s="117"/>
      <x:c r="J7" s="117"/>
      <x:c r="K7" s="117"/>
      <x:c r="L7" s="117"/>
      <x:c r="M7" s="117"/>
      <x:c r="N7" s="117"/>
      <x:c r="O7" s="117"/>
      <x:c r="P7" s="117"/>
      <x:c r="Q7" s="117"/>
      <x:c r="R7" s="117"/>
      <x:c r="S7" s="117"/>
      <x:c r="T7" s="117"/>
      <x:c r="U7" s="117"/>
      <x:c r="V7" s="117"/>
      <x:c r="W7" s="117"/>
      <x:c r="X7" s="117"/>
      <x:c r="Y7" s="117"/>
    </x:row>
    <x:row r="8">
      <x:c r="A8" s="136" t="str">
        <x:v>Head Office</x:v>
      </x:c>
      <x:c r="B8" s="137" t="str">
        <x:v>Kingston</x:v>
      </x:c>
      <x:c r="C8" s="117"/>
      <x:c r="D8" s="117"/>
      <x:c r="E8" s="117"/>
      <x:c r="F8" s="117"/>
      <x:c r="G8" s="117"/>
      <x:c r="H8" s="117"/>
      <x:c r="I8" s="117"/>
      <x:c r="J8" s="117"/>
      <x:c r="K8" s="117"/>
      <x:c r="L8" s="117"/>
      <x:c r="M8" s="117"/>
      <x:c r="N8" s="117"/>
      <x:c r="O8" s="117"/>
      <x:c r="P8" s="117"/>
      <x:c r="Q8" s="117"/>
      <x:c r="R8" s="117"/>
      <x:c r="S8" s="117"/>
      <x:c r="T8" s="117"/>
      <x:c r="U8" s="117"/>
      <x:c r="V8" s="117"/>
      <x:c r="W8" s="117"/>
      <x:c r="X8" s="117"/>
      <x:c r="Y8" s="117"/>
    </x:row>
    <x:row r="9">
      <x:c r="A9" s="136" t="str">
        <x:v>Branch Office</x:v>
      </x:c>
      <x:c r="B9" s="137" t="str">
        <x:v>Montego Bay</x:v>
      </x:c>
      <x:c r="C9" s="117"/>
      <x:c r="D9" s="117"/>
      <x:c r="E9" s="117"/>
      <x:c r="F9" s="117"/>
      <x:c r="G9" s="117"/>
      <x:c r="H9" s="117"/>
      <x:c r="I9" s="117"/>
      <x:c r="J9" s="117"/>
      <x:c r="K9" s="117"/>
      <x:c r="L9" s="117"/>
      <x:c r="M9" s="117"/>
      <x:c r="N9" s="117"/>
      <x:c r="O9" s="117"/>
      <x:c r="P9" s="117"/>
      <x:c r="Q9" s="117"/>
      <x:c r="R9" s="117"/>
      <x:c r="S9" s="117"/>
      <x:c r="T9" s="117"/>
      <x:c r="U9" s="117"/>
      <x:c r="V9" s="117"/>
      <x:c r="W9" s="117"/>
      <x:c r="X9" s="117"/>
      <x:c r="Y9" s="117"/>
    </x:row>
    <x:row r="10">
      <x:c r="A10" s="136" t="str">
        <x:v>Employees</x:v>
      </x:c>
      <x:c r="B10" s="137" t="str">
        <x:v>Approximately 150</x:v>
      </x:c>
      <x:c r="C10" s="117"/>
      <x:c r="D10" s="117"/>
      <x:c r="E10" s="117"/>
      <x:c r="F10" s="117"/>
      <x:c r="G10" s="117"/>
      <x:c r="H10" s="117"/>
      <x:c r="I10" s="117"/>
      <x:c r="J10" s="117"/>
      <x:c r="K10" s="117"/>
      <x:c r="L10" s="117"/>
      <x:c r="M10" s="117"/>
      <x:c r="N10" s="117"/>
      <x:c r="O10" s="117"/>
      <x:c r="P10" s="117"/>
      <x:c r="Q10" s="117"/>
      <x:c r="R10" s="117"/>
      <x:c r="S10" s="117"/>
      <x:c r="T10" s="117"/>
      <x:c r="U10" s="117"/>
      <x:c r="V10" s="117"/>
      <x:c r="W10" s="117"/>
      <x:c r="X10" s="117"/>
      <x:c r="Y10" s="117"/>
    </x:row>
    <x:row r="11">
      <x:c r="A11" s="136" t="str">
        <x:v>Work Model</x:v>
      </x:c>
      <x:c r="B11" s="137" t="str">
        <x:v>Hybrid — office, field and remote users</x:v>
      </x:c>
      <x:c r="C11" s="117"/>
      <x:c r="D11" s="117"/>
      <x:c r="E11" s="117"/>
      <x:c r="F11" s="117"/>
      <x:c r="G11" s="117"/>
      <x:c r="H11" s="117"/>
      <x:c r="I11" s="117"/>
      <x:c r="J11" s="117"/>
      <x:c r="K11" s="117"/>
      <x:c r="L11" s="117"/>
      <x:c r="M11" s="117"/>
      <x:c r="N11" s="117"/>
      <x:c r="O11" s="117"/>
      <x:c r="P11" s="117"/>
      <x:c r="Q11" s="117"/>
      <x:c r="R11" s="117"/>
      <x:c r="S11" s="117"/>
      <x:c r="T11" s="117"/>
      <x:c r="U11" s="117"/>
      <x:c r="V11" s="117"/>
      <x:c r="W11" s="117"/>
      <x:c r="X11" s="117"/>
      <x:c r="Y11" s="117"/>
    </x:row>
    <x:row r="12">
      <x:c r="A12" s="136" t="str">
        <x:v>Primary Cloud Platform</x:v>
      </x:c>
      <x:c r="B12" s="137" t="str">
        <x:v>Microsoft 365 / Entra ID</x:v>
      </x:c>
      <x:c r="C12" s="117"/>
      <x:c r="D12" s="117"/>
      <x:c r="E12" s="117"/>
      <x:c r="F12" s="117"/>
      <x:c r="G12" s="117"/>
      <x:c r="H12" s="117"/>
      <x:c r="I12" s="117"/>
      <x:c r="J12" s="117"/>
      <x:c r="K12" s="117"/>
      <x:c r="L12" s="117"/>
      <x:c r="M12" s="117"/>
      <x:c r="N12" s="117"/>
      <x:c r="O12" s="117"/>
      <x:c r="P12" s="117"/>
      <x:c r="Q12" s="117"/>
      <x:c r="R12" s="117"/>
      <x:c r="S12" s="117"/>
      <x:c r="T12" s="117"/>
      <x:c r="U12" s="117"/>
      <x:c r="V12" s="117"/>
      <x:c r="W12" s="117"/>
      <x:c r="X12" s="117"/>
      <x:c r="Y12" s="117"/>
    </x:row>
    <x:row r="13">
      <x:c r="A13" s="136" t="str">
        <x:v>Core Technology</x:v>
      </x:c>
      <x:c r="B13" s="137" t="str">
        <x:v>Windows laptops, SaaS applications, cloud storage, on-premise network equipment</x:v>
      </x:c>
      <x:c r="C13" s="117"/>
      <x:c r="D13" s="117"/>
      <x:c r="E13" s="117"/>
      <x:c r="F13" s="117"/>
      <x:c r="G13" s="117"/>
      <x:c r="H13" s="117"/>
      <x:c r="I13" s="117"/>
      <x:c r="J13" s="117"/>
      <x:c r="K13" s="117"/>
      <x:c r="L13" s="117"/>
      <x:c r="M13" s="117"/>
      <x:c r="N13" s="117"/>
      <x:c r="O13" s="117"/>
      <x:c r="P13" s="117"/>
      <x:c r="Q13" s="117"/>
      <x:c r="R13" s="117"/>
      <x:c r="S13" s="117"/>
      <x:c r="T13" s="117"/>
      <x:c r="U13" s="117"/>
      <x:c r="V13" s="117"/>
      <x:c r="W13" s="117"/>
      <x:c r="X13" s="117"/>
      <x:c r="Y13" s="117"/>
    </x:row>
    <x:row r="14">
      <x:c r="A14" s="136" t="str">
        <x:v>Assessment Objective</x:v>
      </x:c>
      <x:c r="B14" s="137" t="str">
        <x:v>Identify and prioritize cybersecurity risks to business operations, sensitive data, cloud services and critical technology.</x:v>
      </x:c>
      <x:c r="C14" s="117"/>
      <x:c r="D14" s="117"/>
      <x:c r="E14" s="117"/>
      <x:c r="F14" s="117"/>
      <x:c r="G14" s="117"/>
      <x:c r="H14" s="117"/>
      <x:c r="I14" s="117"/>
      <x:c r="J14" s="117"/>
      <x:c r="K14" s="117"/>
      <x:c r="L14" s="117"/>
      <x:c r="M14" s="117"/>
      <x:c r="N14" s="117"/>
      <x:c r="O14" s="117"/>
      <x:c r="P14" s="117"/>
      <x:c r="Q14" s="117"/>
      <x:c r="R14" s="117"/>
      <x:c r="S14" s="117"/>
      <x:c r="T14" s="117"/>
      <x:c r="U14" s="117"/>
      <x:c r="V14" s="117"/>
      <x:c r="W14" s="117"/>
      <x:c r="X14" s="117"/>
      <x:c r="Y14" s="117"/>
    </x:row>
    <x:row r="15">
      <x:c r="A15" s="136" t="str">
        <x:v>Assessment Type</x:v>
      </x:c>
      <x:c r="B15" s="137" t="str">
        <x:v>Enterprise cybersecurity risk assessment — simulated portfolio engagement</x:v>
      </x:c>
      <x:c r="C15" s="117"/>
      <x:c r="D15" s="117"/>
      <x:c r="E15" s="117"/>
      <x:c r="F15" s="117"/>
      <x:c r="G15" s="117"/>
      <x:c r="H15" s="117"/>
      <x:c r="I15" s="117"/>
      <x:c r="J15" s="117"/>
      <x:c r="K15" s="117"/>
      <x:c r="L15" s="117"/>
      <x:c r="M15" s="117"/>
      <x:c r="N15" s="117"/>
      <x:c r="O15" s="117"/>
      <x:c r="P15" s="117"/>
      <x:c r="Q15" s="117"/>
      <x:c r="R15" s="117"/>
      <x:c r="S15" s="117"/>
      <x:c r="T15" s="117"/>
      <x:c r="U15" s="117"/>
      <x:c r="V15" s="117"/>
      <x:c r="W15" s="117"/>
      <x:c r="X15" s="117"/>
      <x:c r="Y15" s="117"/>
    </x:row>
    <x:row r="16">
      <x:c r="A16" s="117"/>
      <x:c r="B16" s="117"/>
      <x:c r="C16" s="117"/>
      <x:c r="D16" s="117"/>
      <x:c r="E16" s="117"/>
      <x:c r="F16" s="117"/>
      <x:c r="G16" s="117"/>
      <x:c r="H16" s="117"/>
      <x:c r="I16" s="117"/>
      <x:c r="J16" s="117"/>
      <x:c r="K16" s="117"/>
      <x:c r="L16" s="117"/>
      <x:c r="M16" s="117"/>
      <x:c r="N16" s="117"/>
      <x:c r="O16" s="117"/>
      <x:c r="P16" s="117"/>
      <x:c r="Q16" s="117"/>
      <x:c r="R16" s="117"/>
      <x:c r="S16" s="117"/>
      <x:c r="T16" s="117"/>
      <x:c r="U16" s="117"/>
      <x:c r="V16" s="117"/>
      <x:c r="W16" s="117"/>
      <x:c r="X16" s="117"/>
      <x:c r="Y16" s="117"/>
    </x:row>
    <x:row r="17">
      <x:c r="A17" s="117"/>
      <x:c r="B17" s="117"/>
      <x:c r="C17" s="117"/>
      <x:c r="D17" s="117"/>
      <x:c r="E17" s="117"/>
      <x:c r="F17" s="117"/>
      <x:c r="G17" s="117"/>
      <x:c r="H17" s="117"/>
      <x:c r="I17" s="117"/>
      <x:c r="J17" s="117"/>
      <x:c r="K17" s="117"/>
      <x:c r="L17" s="117"/>
      <x:c r="M17" s="117"/>
      <x:c r="N17" s="117"/>
      <x:c r="O17" s="117"/>
      <x:c r="P17" s="117"/>
      <x:c r="Q17" s="117"/>
      <x:c r="R17" s="117"/>
      <x:c r="S17" s="117"/>
      <x:c r="T17" s="117"/>
      <x:c r="U17" s="117"/>
      <x:c r="V17" s="117"/>
      <x:c r="W17" s="117"/>
      <x:c r="X17" s="117"/>
      <x:c r="Y17" s="117"/>
    </x:row>
    <x:row r="18">
      <x:c r="A18" s="138" t="str">
        <x:v>Business Environment</x:v>
      </x:c>
      <x:c r="B18" s="138"/>
      <x:c r="C18" s="138"/>
      <x:c r="D18" s="138"/>
      <x:c r="E18" s="138"/>
      <x:c r="F18" s="138"/>
      <x:c r="G18" s="138"/>
      <x:c r="H18" s="138"/>
      <x:c r="I18" s="117"/>
      <x:c r="J18" s="117"/>
      <x:c r="K18" s="117"/>
      <x:c r="L18" s="117"/>
      <x:c r="M18" s="117"/>
      <x:c r="N18" s="117"/>
      <x:c r="O18" s="117"/>
      <x:c r="P18" s="117"/>
      <x:c r="Q18" s="117"/>
      <x:c r="R18" s="117"/>
      <x:c r="S18" s="117"/>
      <x:c r="T18" s="117"/>
      <x:c r="U18" s="117"/>
      <x:c r="V18" s="117"/>
      <x:c r="W18" s="117"/>
      <x:c r="X18" s="117"/>
      <x:c r="Y18" s="117"/>
    </x:row>
    <x:row r="19">
      <x:c r="A19" s="139" t="str">
        <x:v>IslandLink Business Services Ltd. is a fictional Jamaican mid-sized company supporting commercial clients through administrative, logistics, customer-service and distribution operations. The company relies heavily on Microsoft 365, cloud-based accounting and CRM systems, shared files, business email, internet connectivity, employee laptops, wireless networks and third-party SaaS providers. Approximately one-third of employees work remotely at least part of the week, and selected managers and field staff access company systems from outside corporate offices.
The company has grown quickly and adopted technology incrementally. Security controls exist, but governance is inconsistent: asset ownership is not always formally documented, several systems are vendor-managed, privileged access is concentrated among a small IT team, logging is fragmented, and formal enterprise cyber-risk management is still developing.</x:v>
      </x:c>
      <x:c r="B19" s="139"/>
      <x:c r="C19" s="139"/>
      <x:c r="D19" s="139"/>
      <x:c r="E19" s="139"/>
      <x:c r="F19" s="139"/>
      <x:c r="G19" s="139"/>
      <x:c r="H19" s="139"/>
      <x:c r="I19" s="117"/>
      <x:c r="J19" s="117"/>
      <x:c r="K19" s="117"/>
      <x:c r="L19" s="117"/>
      <x:c r="M19" s="117"/>
      <x:c r="N19" s="117"/>
      <x:c r="O19" s="117"/>
      <x:c r="P19" s="117"/>
      <x:c r="Q19" s="117"/>
      <x:c r="R19" s="117"/>
      <x:c r="S19" s="117"/>
      <x:c r="T19" s="117"/>
      <x:c r="U19" s="117"/>
      <x:c r="V19" s="117"/>
      <x:c r="W19" s="117"/>
      <x:c r="X19" s="117"/>
      <x:c r="Y19" s="117"/>
    </x:row>
    <x:row r="20">
      <x:c r="A20" s="139"/>
      <x:c r="B20" s="139"/>
      <x:c r="C20" s="139"/>
      <x:c r="D20" s="139"/>
      <x:c r="E20" s="139"/>
      <x:c r="F20" s="139"/>
      <x:c r="G20" s="139"/>
      <x:c r="H20" s="139"/>
      <x:c r="I20" s="117"/>
      <x:c r="J20" s="117"/>
      <x:c r="K20" s="117"/>
      <x:c r="L20" s="117"/>
      <x:c r="M20" s="117"/>
      <x:c r="N20" s="117"/>
      <x:c r="O20" s="117"/>
      <x:c r="P20" s="117"/>
      <x:c r="Q20" s="117"/>
      <x:c r="R20" s="117"/>
      <x:c r="S20" s="117"/>
      <x:c r="T20" s="117"/>
      <x:c r="U20" s="117"/>
      <x:c r="V20" s="117"/>
      <x:c r="W20" s="117"/>
      <x:c r="X20" s="117"/>
      <x:c r="Y20" s="117"/>
    </x:row>
    <x:row r="21">
      <x:c r="A21" s="139"/>
      <x:c r="B21" s="139"/>
      <x:c r="C21" s="139"/>
      <x:c r="D21" s="139"/>
      <x:c r="E21" s="139"/>
      <x:c r="F21" s="139"/>
      <x:c r="G21" s="139"/>
      <x:c r="H21" s="139"/>
      <x:c r="I21" s="117"/>
      <x:c r="J21" s="117"/>
      <x:c r="K21" s="117"/>
      <x:c r="L21" s="117"/>
      <x:c r="M21" s="117"/>
      <x:c r="N21" s="117"/>
      <x:c r="O21" s="117"/>
      <x:c r="P21" s="117"/>
      <x:c r="Q21" s="117"/>
      <x:c r="R21" s="117"/>
      <x:c r="S21" s="117"/>
      <x:c r="T21" s="117"/>
      <x:c r="U21" s="117"/>
      <x:c r="V21" s="117"/>
      <x:c r="W21" s="117"/>
      <x:c r="X21" s="117"/>
      <x:c r="Y21" s="117"/>
    </x:row>
    <x:row r="22">
      <x:c r="A22" s="139"/>
      <x:c r="B22" s="139"/>
      <x:c r="C22" s="139"/>
      <x:c r="D22" s="139"/>
      <x:c r="E22" s="139"/>
      <x:c r="F22" s="139"/>
      <x:c r="G22" s="139"/>
      <x:c r="H22" s="139"/>
      <x:c r="I22" s="117"/>
      <x:c r="J22" s="117"/>
      <x:c r="K22" s="117"/>
      <x:c r="L22" s="117"/>
      <x:c r="M22" s="117"/>
      <x:c r="N22" s="117"/>
      <x:c r="O22" s="117"/>
      <x:c r="P22" s="117"/>
      <x:c r="Q22" s="117"/>
      <x:c r="R22" s="117"/>
      <x:c r="S22" s="117"/>
      <x:c r="T22" s="117"/>
      <x:c r="U22" s="117"/>
      <x:c r="V22" s="117"/>
      <x:c r="W22" s="117"/>
      <x:c r="X22" s="117"/>
      <x:c r="Y22" s="117"/>
    </x:row>
    <x:row r="23">
      <x:c r="A23" s="139"/>
      <x:c r="B23" s="139"/>
      <x:c r="C23" s="139"/>
      <x:c r="D23" s="139"/>
      <x:c r="E23" s="139"/>
      <x:c r="F23" s="139"/>
      <x:c r="G23" s="139"/>
      <x:c r="H23" s="139"/>
      <x:c r="I23" s="117"/>
      <x:c r="J23" s="117"/>
      <x:c r="K23" s="117"/>
      <x:c r="L23" s="117"/>
      <x:c r="M23" s="117"/>
      <x:c r="N23" s="117"/>
      <x:c r="O23" s="117"/>
      <x:c r="P23" s="117"/>
      <x:c r="Q23" s="117"/>
      <x:c r="R23" s="117"/>
      <x:c r="S23" s="117"/>
      <x:c r="T23" s="117"/>
      <x:c r="U23" s="117"/>
      <x:c r="V23" s="117"/>
      <x:c r="W23" s="117"/>
      <x:c r="X23" s="117"/>
      <x:c r="Y23" s="117"/>
    </x:row>
    <x:row r="24">
      <x:c r="A24" s="139"/>
      <x:c r="B24" s="139"/>
      <x:c r="C24" s="139"/>
      <x:c r="D24" s="139"/>
      <x:c r="E24" s="139"/>
      <x:c r="F24" s="139"/>
      <x:c r="G24" s="139"/>
      <x:c r="H24" s="139"/>
      <x:c r="I24" s="117"/>
      <x:c r="J24" s="117"/>
      <x:c r="K24" s="117"/>
      <x:c r="L24" s="117"/>
      <x:c r="M24" s="117"/>
      <x:c r="N24" s="117"/>
      <x:c r="O24" s="117"/>
      <x:c r="P24" s="117"/>
      <x:c r="Q24" s="117"/>
      <x:c r="R24" s="117"/>
      <x:c r="S24" s="117"/>
      <x:c r="T24" s="117"/>
      <x:c r="U24" s="117"/>
      <x:c r="V24" s="117"/>
      <x:c r="W24" s="117"/>
      <x:c r="X24" s="117"/>
      <x:c r="Y24" s="117"/>
    </x:row>
    <x:row r="25">
      <x:c r="A25" s="139"/>
      <x:c r="B25" s="139"/>
      <x:c r="C25" s="139"/>
      <x:c r="D25" s="139"/>
      <x:c r="E25" s="139"/>
      <x:c r="F25" s="139"/>
      <x:c r="G25" s="139"/>
      <x:c r="H25" s="139"/>
      <x:c r="I25" s="117"/>
      <x:c r="J25" s="117"/>
      <x:c r="K25" s="117"/>
      <x:c r="L25" s="117"/>
      <x:c r="M25" s="117"/>
      <x:c r="N25" s="117"/>
      <x:c r="O25" s="117"/>
      <x:c r="P25" s="117"/>
      <x:c r="Q25" s="117"/>
      <x:c r="R25" s="117"/>
      <x:c r="S25" s="117"/>
      <x:c r="T25" s="117"/>
      <x:c r="U25" s="117"/>
      <x:c r="V25" s="117"/>
      <x:c r="W25" s="117"/>
      <x:c r="X25" s="117"/>
      <x:c r="Y25" s="117"/>
    </x:row>
    <x:row r="26">
      <x:c r="A26" s="139"/>
      <x:c r="B26" s="139"/>
      <x:c r="C26" s="139"/>
      <x:c r="D26" s="139"/>
      <x:c r="E26" s="139"/>
      <x:c r="F26" s="139"/>
      <x:c r="G26" s="139"/>
      <x:c r="H26" s="139"/>
      <x:c r="I26" s="117"/>
      <x:c r="J26" s="117"/>
      <x:c r="K26" s="117"/>
      <x:c r="L26" s="117"/>
      <x:c r="M26" s="117"/>
      <x:c r="N26" s="117"/>
      <x:c r="O26" s="117"/>
      <x:c r="P26" s="117"/>
      <x:c r="Q26" s="117"/>
      <x:c r="R26" s="117"/>
      <x:c r="S26" s="117"/>
      <x:c r="T26" s="117"/>
      <x:c r="U26" s="117"/>
      <x:c r="V26" s="117"/>
      <x:c r="W26" s="117"/>
      <x:c r="X26" s="117"/>
      <x:c r="Y26" s="117"/>
    </x:row>
    <x:row r="27">
      <x:c r="A27" s="117"/>
      <x:c r="B27" s="117"/>
      <x:c r="C27" s="117"/>
      <x:c r="D27" s="117"/>
      <x:c r="E27" s="117"/>
      <x:c r="F27" s="117"/>
      <x:c r="G27" s="117"/>
      <x:c r="H27" s="117"/>
      <x:c r="I27" s="117"/>
      <x:c r="J27" s="117"/>
      <x:c r="K27" s="117"/>
      <x:c r="L27" s="117"/>
      <x:c r="M27" s="117"/>
      <x:c r="N27" s="117"/>
      <x:c r="O27" s="117"/>
      <x:c r="P27" s="117"/>
      <x:c r="Q27" s="117"/>
      <x:c r="R27" s="117"/>
      <x:c r="S27" s="117"/>
      <x:c r="T27" s="117"/>
      <x:c r="U27" s="117"/>
      <x:c r="V27" s="117"/>
      <x:c r="W27" s="117"/>
      <x:c r="X27" s="117"/>
      <x:c r="Y27" s="117"/>
    </x:row>
    <x:row r="28">
      <x:c r="A28" s="117"/>
      <x:c r="B28" s="117"/>
      <x:c r="C28" s="117"/>
      <x:c r="D28" s="117"/>
      <x:c r="E28" s="117"/>
      <x:c r="F28" s="117"/>
      <x:c r="G28" s="117"/>
      <x:c r="H28" s="117"/>
      <x:c r="I28" s="117"/>
      <x:c r="J28" s="117"/>
      <x:c r="K28" s="117"/>
      <x:c r="L28" s="117"/>
      <x:c r="M28" s="117"/>
      <x:c r="N28" s="117"/>
      <x:c r="O28" s="117"/>
      <x:c r="P28" s="117"/>
      <x:c r="Q28" s="117"/>
      <x:c r="R28" s="117"/>
      <x:c r="S28" s="117"/>
      <x:c r="T28" s="117"/>
      <x:c r="U28" s="117"/>
      <x:c r="V28" s="117"/>
      <x:c r="W28" s="117"/>
      <x:c r="X28" s="117"/>
      <x:c r="Y28" s="117"/>
    </x:row>
    <x:row r="29">
      <x:c r="A29" s="138" t="str">
        <x:v>Assessment Scope</x:v>
      </x:c>
      <x:c r="B29" s="138"/>
      <x:c r="C29" s="138"/>
      <x:c r="D29" s="138"/>
      <x:c r="E29" s="138"/>
      <x:c r="F29" s="138"/>
      <x:c r="G29" s="138"/>
      <x:c r="H29" s="138"/>
      <x:c r="I29" s="117"/>
      <x:c r="J29" s="117"/>
      <x:c r="K29" s="117"/>
      <x:c r="L29" s="117"/>
      <x:c r="M29" s="117"/>
      <x:c r="N29" s="117"/>
      <x:c r="O29" s="117"/>
      <x:c r="P29" s="117"/>
      <x:c r="Q29" s="117"/>
      <x:c r="R29" s="117"/>
      <x:c r="S29" s="117"/>
      <x:c r="T29" s="117"/>
      <x:c r="U29" s="117"/>
      <x:c r="V29" s="117"/>
      <x:c r="W29" s="117"/>
      <x:c r="X29" s="117"/>
      <x:c r="Y29" s="117"/>
    </x:row>
    <x:row r="30">
      <x:c r="A30" s="140" t="str">
        <x:v>In Scope</x:v>
      </x:c>
      <x:c r="B30" s="140" t="str"/>
      <x:c r="C30" s="140" t="str">
        <x:v>Out of Scope</x:v>
      </x:c>
      <x:c r="D30" s="140" t="str"/>
      <x:c r="E30" s="117"/>
      <x:c r="F30" s="117"/>
      <x:c r="G30" s="117"/>
      <x:c r="H30" s="117"/>
      <x:c r="I30" s="117"/>
      <x:c r="J30" s="117"/>
      <x:c r="K30" s="117"/>
      <x:c r="L30" s="117"/>
      <x:c r="M30" s="117"/>
      <x:c r="N30" s="117"/>
      <x:c r="O30" s="117"/>
      <x:c r="P30" s="117"/>
      <x:c r="Q30" s="117"/>
      <x:c r="R30" s="117"/>
      <x:c r="S30" s="117"/>
      <x:c r="T30" s="117"/>
      <x:c r="U30" s="117"/>
      <x:c r="V30" s="117"/>
      <x:c r="W30" s="117"/>
      <x:c r="X30" s="117"/>
      <x:c r="Y30" s="117"/>
    </x:row>
    <x:row r="31">
      <x:c r="A31" s="62" t="str">
        <x:v>Corporate endpoints</x:v>
      </x:c>
      <x:c r="B31" s="62" t="str">
        <x:v>Windows laptops/desktops</x:v>
      </x:c>
      <x:c r="C31" s="62" t="str">
        <x:v>Industrial/OT systems</x:v>
      </x:c>
      <x:c r="D31" s="62" t="str">
        <x:v>None operated by the company</x:v>
      </x:c>
      <x:c r="E31" s="117"/>
      <x:c r="F31" s="117"/>
      <x:c r="G31" s="117"/>
      <x:c r="H31" s="117"/>
      <x:c r="I31" s="117"/>
      <x:c r="J31" s="117"/>
      <x:c r="K31" s="117"/>
      <x:c r="L31" s="117"/>
      <x:c r="M31" s="117"/>
      <x:c r="N31" s="117"/>
      <x:c r="O31" s="117"/>
      <x:c r="P31" s="117"/>
      <x:c r="Q31" s="117"/>
      <x:c r="R31" s="117"/>
      <x:c r="S31" s="117"/>
      <x:c r="T31" s="117"/>
      <x:c r="U31" s="117"/>
      <x:c r="V31" s="117"/>
      <x:c r="W31" s="117"/>
      <x:c r="X31" s="117"/>
      <x:c r="Y31" s="117"/>
    </x:row>
    <x:row r="32">
      <x:c r="A32" s="62" t="str">
        <x:v>Identity &amp; email</x:v>
      </x:c>
      <x:c r="B32" s="62" t="str">
        <x:v>Microsoft 365 / Entra ID</x:v>
      </x:c>
      <x:c r="C32" s="62" t="str">
        <x:v>Personal home networks</x:v>
      </x:c>
      <x:c r="D32" s="62" t="str">
        <x:v>Beyond device/remote-access controls</x:v>
      </x:c>
      <x:c r="E32" s="117"/>
      <x:c r="F32" s="117"/>
      <x:c r="G32" s="117"/>
      <x:c r="H32" s="117"/>
      <x:c r="I32" s="117"/>
      <x:c r="J32" s="117"/>
      <x:c r="K32" s="117"/>
      <x:c r="L32" s="117"/>
      <x:c r="M32" s="117"/>
      <x:c r="N32" s="117"/>
      <x:c r="O32" s="117"/>
      <x:c r="P32" s="117"/>
      <x:c r="Q32" s="117"/>
      <x:c r="R32" s="117"/>
      <x:c r="S32" s="117"/>
      <x:c r="T32" s="117"/>
      <x:c r="U32" s="117"/>
      <x:c r="V32" s="117"/>
      <x:c r="W32" s="117"/>
      <x:c r="X32" s="117"/>
      <x:c r="Y32" s="117"/>
    </x:row>
    <x:row r="33">
      <x:c r="A33" s="62" t="str">
        <x:v>Cloud applications</x:v>
      </x:c>
      <x:c r="B33" s="62" t="str">
        <x:v>Accounting, CRM, HR, file collaboration</x:v>
      </x:c>
      <x:c r="C33" s="62" t="str">
        <x:v>Client-owned environments</x:v>
      </x:c>
      <x:c r="D33" s="62" t="str">
        <x:v>Except interfaces/data exchanged with IslandLink</x:v>
      </x:c>
      <x:c r="E33" s="117"/>
      <x:c r="F33" s="117"/>
      <x:c r="G33" s="117"/>
      <x:c r="H33" s="117"/>
      <x:c r="I33" s="117"/>
      <x:c r="J33" s="117"/>
      <x:c r="K33" s="117"/>
      <x:c r="L33" s="117"/>
      <x:c r="M33" s="117"/>
      <x:c r="N33" s="117"/>
      <x:c r="O33" s="117"/>
      <x:c r="P33" s="117"/>
      <x:c r="Q33" s="117"/>
      <x:c r="R33" s="117"/>
      <x:c r="S33" s="117"/>
      <x:c r="T33" s="117"/>
      <x:c r="U33" s="117"/>
      <x:c r="V33" s="117"/>
      <x:c r="W33" s="117"/>
      <x:c r="X33" s="117"/>
      <x:c r="Y33" s="117"/>
    </x:row>
    <x:row r="34">
      <x:c r="A34" s="62" t="str">
        <x:v>Corporate network</x:v>
      </x:c>
      <x:c r="B34" s="62" t="str">
        <x:v>Firewalls, switches, Wi-Fi, VPN</x:v>
      </x:c>
      <x:c r="C34" s="62" t="str">
        <x:v>Physical building security</x:v>
      </x:c>
      <x:c r="D34" s="62" t="str">
        <x:v>Only where directly relevant to cyber assets</x:v>
      </x:c>
      <x:c r="E34" s="117"/>
      <x:c r="F34" s="117"/>
      <x:c r="G34" s="117"/>
      <x:c r="H34" s="117"/>
      <x:c r="I34" s="117"/>
      <x:c r="J34" s="117"/>
      <x:c r="K34" s="117"/>
      <x:c r="L34" s="117"/>
      <x:c r="M34" s="117"/>
      <x:c r="N34" s="117"/>
      <x:c r="O34" s="117"/>
      <x:c r="P34" s="117"/>
      <x:c r="Q34" s="117"/>
      <x:c r="R34" s="117"/>
      <x:c r="S34" s="117"/>
      <x:c r="T34" s="117"/>
      <x:c r="U34" s="117"/>
      <x:c r="V34" s="117"/>
      <x:c r="W34" s="117"/>
      <x:c r="X34" s="117"/>
      <x:c r="Y34" s="117"/>
    </x:row>
    <x:row r="35">
      <x:c r="A35" s="62" t="str">
        <x:v>Web presence</x:v>
      </x:c>
      <x:c r="B35" s="62" t="str">
        <x:v>Public website and DNS</x:v>
      </x:c>
      <x:c r="C35" s="62" t="str">
        <x:v>Payment-card environment</x:v>
      </x:c>
      <x:c r="D35" s="62" t="str">
        <x:v>Payments handled by third-party provider</x:v>
      </x:c>
      <x:c r="E35" s="117"/>
      <x:c r="F35" s="117"/>
      <x:c r="G35" s="117"/>
      <x:c r="H35" s="117"/>
      <x:c r="I35" s="117"/>
      <x:c r="J35" s="117"/>
      <x:c r="K35" s="117"/>
      <x:c r="L35" s="117"/>
      <x:c r="M35" s="117"/>
      <x:c r="N35" s="117"/>
      <x:c r="O35" s="117"/>
      <x:c r="P35" s="117"/>
      <x:c r="Q35" s="117"/>
      <x:c r="R35" s="117"/>
      <x:c r="S35" s="117"/>
      <x:c r="T35" s="117"/>
      <x:c r="U35" s="117"/>
      <x:c r="V35" s="117"/>
      <x:c r="W35" s="117"/>
      <x:c r="X35" s="117"/>
      <x:c r="Y35" s="117"/>
    </x:row>
    <x:row r="36">
      <x:c r="A36" s="62" t="str">
        <x:v>Data &amp; backups</x:v>
      </x:c>
      <x:c r="B36" s="62" t="str">
        <x:v>Customer, employee, financial, operational data</x:v>
      </x:c>
      <x:c r="C36" s="62" t="str">
        <x:v>Legal compliance audit</x:v>
      </x:c>
      <x:c r="D36" s="62" t="str">
        <x:v>This project is cyber-risk focused, not a legal certification</x:v>
      </x:c>
      <x:c r="E36" s="117"/>
      <x:c r="F36" s="117"/>
      <x:c r="G36" s="117"/>
      <x:c r="H36" s="117"/>
      <x:c r="I36" s="117"/>
      <x:c r="J36" s="117"/>
      <x:c r="K36" s="117"/>
      <x:c r="L36" s="117"/>
      <x:c r="M36" s="117"/>
      <x:c r="N36" s="117"/>
      <x:c r="O36" s="117"/>
      <x:c r="P36" s="117"/>
      <x:c r="Q36" s="117"/>
      <x:c r="R36" s="117"/>
      <x:c r="S36" s="117"/>
      <x:c r="T36" s="117"/>
      <x:c r="U36" s="117"/>
      <x:c r="V36" s="117"/>
      <x:c r="W36" s="117"/>
      <x:c r="X36" s="117"/>
      <x:c r="Y36" s="117"/>
    </x:row>
    <x:row r="37">
      <x:c r="A37" s="62" t="str">
        <x:v>Third parties</x:v>
      </x:c>
      <x:c r="B37" s="62" t="str">
        <x:v>Critical SaaS and managed IT/security providers</x:v>
      </x:c>
      <x:c r="C37" s="62" t="str"/>
      <x:c r="D37" s="62" t="str"/>
      <x:c r="E37" s="117"/>
      <x:c r="F37" s="117"/>
      <x:c r="G37" s="117"/>
      <x:c r="H37" s="117"/>
      <x:c r="I37" s="117"/>
      <x:c r="J37" s="117"/>
      <x:c r="K37" s="117"/>
      <x:c r="L37" s="117"/>
      <x:c r="M37" s="117"/>
      <x:c r="N37" s="117"/>
      <x:c r="O37" s="117"/>
      <x:c r="P37" s="117"/>
      <x:c r="Q37" s="117"/>
      <x:c r="R37" s="117"/>
      <x:c r="S37" s="117"/>
      <x:c r="T37" s="117"/>
      <x:c r="U37" s="117"/>
      <x:c r="V37" s="117"/>
      <x:c r="W37" s="117"/>
      <x:c r="X37" s="117"/>
      <x:c r="Y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row>
    <x:row r="101">
      <x:c r="A101" s="117"/>
      <x:c r="B101" s="117"/>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row>
    <x:row r="102">
      <x:c r="A102" s="117"/>
      <x:c r="B102" s="117"/>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row>
    <x:row r="103">
      <x:c r="A103" s="117"/>
      <x:c r="B103" s="117"/>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row>
    <x:row r="104">
      <x:c r="A104" s="117"/>
      <x:c r="B104" s="117"/>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row>
    <x:row r="105">
      <x:c r="A105" s="117"/>
      <x:c r="B105" s="117"/>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row>
    <x:row r="106">
      <x:c r="A106" s="117"/>
      <x:c r="B106" s="117"/>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row>
    <x:row r="107">
      <x:c r="A107" s="117"/>
      <x:c r="B107" s="117"/>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row>
    <x:row r="201">
      <x:c r="A201" s="117"/>
      <x:c r="B201" s="117"/>
      <x:c r="C201" s="117"/>
      <x:c r="D201" s="117"/>
      <x:c r="E201" s="117"/>
      <x:c r="F201" s="117"/>
      <x:c r="G201" s="117"/>
      <x:c r="H201" s="117"/>
      <x:c r="I201" s="117"/>
      <x:c r="J201" s="117"/>
      <x:c r="K201" s="117"/>
      <x:c r="L201" s="117"/>
      <x:c r="M201" s="117"/>
      <x:c r="N201" s="117"/>
      <x:c r="O201" s="117"/>
      <x:c r="P201" s="117"/>
      <x:c r="Q201" s="117"/>
      <x:c r="R201" s="117"/>
      <x:c r="S201" s="117"/>
      <x:c r="T201" s="117"/>
      <x:c r="U201" s="117"/>
      <x:c r="V201" s="117"/>
      <x:c r="W201" s="117"/>
      <x:c r="X201" s="117"/>
      <x:c r="Y201" s="117"/>
    </x:row>
    <x:row r="202">
      <x:c r="A202" s="117"/>
      <x:c r="B202" s="117"/>
      <x:c r="C202" s="117"/>
      <x:c r="D202" s="117"/>
      <x:c r="E202" s="117"/>
      <x:c r="F202" s="117"/>
      <x:c r="G202" s="117"/>
      <x:c r="H202" s="117"/>
      <x:c r="I202" s="117"/>
      <x:c r="J202" s="117"/>
      <x:c r="K202" s="117"/>
      <x:c r="L202" s="117"/>
      <x:c r="M202" s="117"/>
      <x:c r="N202" s="117"/>
      <x:c r="O202" s="117"/>
      <x:c r="P202" s="117"/>
      <x:c r="Q202" s="117"/>
      <x:c r="R202" s="117"/>
      <x:c r="S202" s="117"/>
      <x:c r="T202" s="117"/>
      <x:c r="U202" s="117"/>
      <x:c r="V202" s="117"/>
      <x:c r="W202" s="117"/>
      <x:c r="X202" s="117"/>
      <x:c r="Y202" s="117"/>
    </x:row>
    <x:row r="203">
      <x:c r="A203" s="117"/>
      <x:c r="B203" s="117"/>
      <x:c r="C203" s="117"/>
      <x:c r="D203" s="117"/>
      <x:c r="E203" s="117"/>
      <x:c r="F203" s="117"/>
      <x:c r="G203" s="117"/>
      <x:c r="H203" s="117"/>
      <x:c r="I203" s="117"/>
      <x:c r="J203" s="117"/>
      <x:c r="K203" s="117"/>
      <x:c r="L203" s="117"/>
      <x:c r="M203" s="117"/>
      <x:c r="N203" s="117"/>
      <x:c r="O203" s="117"/>
      <x:c r="P203" s="117"/>
      <x:c r="Q203" s="117"/>
      <x:c r="R203" s="117"/>
      <x:c r="S203" s="117"/>
      <x:c r="T203" s="117"/>
      <x:c r="U203" s="117"/>
      <x:c r="V203" s="117"/>
      <x:c r="W203" s="117"/>
      <x:c r="X203" s="117"/>
      <x:c r="Y203" s="117"/>
    </x:row>
    <x:row r="204">
      <x:c r="A204" s="117"/>
      <x:c r="B204" s="117"/>
      <x:c r="C204" s="117"/>
      <x:c r="D204" s="117"/>
      <x:c r="E204" s="117"/>
      <x:c r="F204" s="117"/>
      <x:c r="G204" s="117"/>
      <x:c r="H204" s="117"/>
      <x:c r="I204" s="117"/>
      <x:c r="J204" s="117"/>
      <x:c r="K204" s="117"/>
      <x:c r="L204" s="117"/>
      <x:c r="M204" s="117"/>
      <x:c r="N204" s="117"/>
      <x:c r="O204" s="117"/>
      <x:c r="P204" s="117"/>
      <x:c r="Q204" s="117"/>
      <x:c r="R204" s="117"/>
      <x:c r="S204" s="117"/>
      <x:c r="T204" s="117"/>
      <x:c r="U204" s="117"/>
      <x:c r="V204" s="117"/>
      <x:c r="W204" s="117"/>
      <x:c r="X204" s="117"/>
      <x:c r="Y204" s="117"/>
    </x:row>
    <x:row r="205">
      <x:c r="A205" s="117"/>
      <x:c r="B205" s="117"/>
      <x:c r="C205" s="117"/>
      <x:c r="D205" s="117"/>
      <x:c r="E205" s="117"/>
      <x:c r="F205" s="117"/>
      <x:c r="G205" s="117"/>
      <x:c r="H205" s="117"/>
      <x:c r="I205" s="117"/>
      <x:c r="J205" s="117"/>
      <x:c r="K205" s="117"/>
      <x:c r="L205" s="117"/>
      <x:c r="M205" s="117"/>
      <x:c r="N205" s="117"/>
      <x:c r="O205" s="117"/>
      <x:c r="P205" s="117"/>
      <x:c r="Q205" s="117"/>
      <x:c r="R205" s="117"/>
      <x:c r="S205" s="117"/>
      <x:c r="T205" s="117"/>
      <x:c r="U205" s="117"/>
      <x:c r="V205" s="117"/>
      <x:c r="W205" s="117"/>
      <x:c r="X205" s="117"/>
      <x:c r="Y205" s="117"/>
    </x:row>
    <x:row r="206">
      <x:c r="A206" s="117"/>
      <x:c r="B206" s="117"/>
      <x:c r="C206" s="117"/>
      <x:c r="D206" s="117"/>
      <x:c r="E206" s="117"/>
      <x:c r="F206" s="117"/>
      <x:c r="G206" s="117"/>
      <x:c r="H206" s="117"/>
      <x:c r="I206" s="117"/>
      <x:c r="J206" s="117"/>
      <x:c r="K206" s="117"/>
      <x:c r="L206" s="117"/>
      <x:c r="M206" s="117"/>
      <x:c r="N206" s="117"/>
      <x:c r="O206" s="117"/>
      <x:c r="P206" s="117"/>
      <x:c r="Q206" s="117"/>
      <x:c r="R206" s="117"/>
      <x:c r="S206" s="117"/>
      <x:c r="T206" s="117"/>
      <x:c r="U206" s="117"/>
      <x:c r="V206" s="117"/>
      <x:c r="W206" s="117"/>
      <x:c r="X206" s="117"/>
      <x:c r="Y206" s="117"/>
    </x:row>
    <x:row r="207">
      <x:c r="A207" s="117"/>
      <x:c r="B207" s="117"/>
      <x:c r="C207" s="117"/>
      <x:c r="D207" s="117"/>
      <x:c r="E207" s="117"/>
      <x:c r="F207" s="117"/>
      <x:c r="G207" s="117"/>
      <x:c r="H207" s="117"/>
      <x:c r="I207" s="117"/>
      <x:c r="J207" s="117"/>
      <x:c r="K207" s="117"/>
      <x:c r="L207" s="117"/>
      <x:c r="M207" s="117"/>
      <x:c r="N207" s="117"/>
      <x:c r="O207" s="117"/>
      <x:c r="P207" s="117"/>
      <x:c r="Q207" s="117"/>
      <x:c r="R207" s="117"/>
      <x:c r="S207" s="117"/>
      <x:c r="T207" s="117"/>
      <x:c r="U207" s="117"/>
      <x:c r="V207" s="117"/>
      <x:c r="W207" s="117"/>
      <x:c r="X207" s="117"/>
      <x:c r="Y207" s="117"/>
    </x:row>
    <x:row r="208">
      <x:c r="A208" s="117"/>
      <x:c r="B208" s="117"/>
      <x:c r="C208" s="117"/>
      <x:c r="D208" s="117"/>
      <x:c r="E208" s="117"/>
      <x:c r="F208" s="117"/>
      <x:c r="G208" s="117"/>
      <x:c r="H208" s="117"/>
      <x:c r="I208" s="117"/>
      <x:c r="J208" s="117"/>
      <x:c r="K208" s="117"/>
      <x:c r="L208" s="117"/>
      <x:c r="M208" s="117"/>
      <x:c r="N208" s="117"/>
      <x:c r="O208" s="117"/>
      <x:c r="P208" s="117"/>
      <x:c r="Q208" s="117"/>
      <x:c r="R208" s="117"/>
      <x:c r="S208" s="117"/>
      <x:c r="T208" s="117"/>
      <x:c r="U208" s="117"/>
      <x:c r="V208" s="117"/>
      <x:c r="W208" s="117"/>
      <x:c r="X208" s="117"/>
      <x:c r="Y208" s="117"/>
    </x:row>
    <x:row r="209">
      <x:c r="A209" s="117"/>
      <x:c r="B209" s="117"/>
      <x:c r="C209" s="117"/>
      <x:c r="D209" s="117"/>
      <x:c r="E209" s="117"/>
      <x:c r="F209" s="117"/>
      <x:c r="G209" s="117"/>
      <x:c r="H209" s="117"/>
      <x:c r="I209" s="117"/>
      <x:c r="J209" s="117"/>
      <x:c r="K209" s="117"/>
      <x:c r="L209" s="117"/>
      <x:c r="M209" s="117"/>
      <x:c r="N209" s="117"/>
      <x:c r="O209" s="117"/>
      <x:c r="P209" s="117"/>
      <x:c r="Q209" s="117"/>
      <x:c r="R209" s="117"/>
      <x:c r="S209" s="117"/>
      <x:c r="T209" s="117"/>
      <x:c r="U209" s="117"/>
      <x:c r="V209" s="117"/>
      <x:c r="W209" s="117"/>
      <x:c r="X209" s="117"/>
      <x:c r="Y209" s="117"/>
    </x:row>
    <x:row r="210">
      <x:c r="A210" s="117"/>
      <x:c r="B210" s="117"/>
      <x:c r="C210" s="117"/>
      <x:c r="D210" s="117"/>
      <x:c r="E210" s="117"/>
      <x:c r="F210" s="117"/>
      <x:c r="G210" s="117"/>
      <x:c r="H210" s="117"/>
      <x:c r="I210" s="117"/>
      <x:c r="J210" s="117"/>
      <x:c r="K210" s="117"/>
      <x:c r="L210" s="117"/>
      <x:c r="M210" s="117"/>
      <x:c r="N210" s="117"/>
      <x:c r="O210" s="117"/>
      <x:c r="P210" s="117"/>
      <x:c r="Q210" s="117"/>
      <x:c r="R210" s="117"/>
      <x:c r="S210" s="117"/>
      <x:c r="T210" s="117"/>
      <x:c r="U210" s="117"/>
      <x:c r="V210" s="117"/>
      <x:c r="W210" s="117"/>
      <x:c r="X210" s="117"/>
      <x:c r="Y210" s="117"/>
    </x:row>
    <x:row r="211">
      <x:c r="A211" s="117"/>
      <x:c r="B211" s="117"/>
      <x:c r="C211" s="117"/>
      <x:c r="D211" s="117"/>
      <x:c r="E211" s="117"/>
      <x:c r="F211" s="117"/>
      <x:c r="G211" s="117"/>
      <x:c r="H211" s="117"/>
      <x:c r="I211" s="117"/>
      <x:c r="J211" s="117"/>
      <x:c r="K211" s="117"/>
      <x:c r="L211" s="117"/>
      <x:c r="M211" s="117"/>
      <x:c r="N211" s="117"/>
      <x:c r="O211" s="117"/>
      <x:c r="P211" s="117"/>
      <x:c r="Q211" s="117"/>
      <x:c r="R211" s="117"/>
      <x:c r="S211" s="117"/>
      <x:c r="T211" s="117"/>
      <x:c r="U211" s="117"/>
      <x:c r="V211" s="117"/>
      <x:c r="W211" s="117"/>
      <x:c r="X211" s="117"/>
      <x:c r="Y211" s="117"/>
    </x:row>
    <x:row r="212">
      <x:c r="A212" s="117"/>
      <x:c r="B212" s="117"/>
      <x:c r="C212" s="117"/>
      <x:c r="D212" s="117"/>
      <x:c r="E212" s="117"/>
      <x:c r="F212" s="117"/>
      <x:c r="G212" s="117"/>
      <x:c r="H212" s="117"/>
      <x:c r="I212" s="117"/>
      <x:c r="J212" s="117"/>
      <x:c r="K212" s="117"/>
      <x:c r="L212" s="117"/>
      <x:c r="M212" s="117"/>
      <x:c r="N212" s="117"/>
      <x:c r="O212" s="117"/>
      <x:c r="P212" s="117"/>
      <x:c r="Q212" s="117"/>
      <x:c r="R212" s="117"/>
      <x:c r="S212" s="117"/>
      <x:c r="T212" s="117"/>
      <x:c r="U212" s="117"/>
      <x:c r="V212" s="117"/>
      <x:c r="W212" s="117"/>
      <x:c r="X212" s="117"/>
      <x:c r="Y212" s="117"/>
    </x:row>
    <x:row r="213">
      <x:c r="A213" s="117"/>
      <x:c r="B213" s="117"/>
      <x:c r="C213" s="117"/>
      <x:c r="D213" s="117"/>
      <x:c r="E213" s="117"/>
      <x:c r="F213" s="117"/>
      <x:c r="G213" s="117"/>
      <x:c r="H213" s="117"/>
      <x:c r="I213" s="117"/>
      <x:c r="J213" s="117"/>
      <x:c r="K213" s="117"/>
      <x:c r="L213" s="117"/>
      <x:c r="M213" s="117"/>
      <x:c r="N213" s="117"/>
      <x:c r="O213" s="117"/>
      <x:c r="P213" s="117"/>
      <x:c r="Q213" s="117"/>
      <x:c r="R213" s="117"/>
      <x:c r="S213" s="117"/>
      <x:c r="T213" s="117"/>
      <x:c r="U213" s="117"/>
      <x:c r="V213" s="117"/>
      <x:c r="W213" s="117"/>
      <x:c r="X213" s="117"/>
      <x:c r="Y213" s="117"/>
    </x:row>
    <x:row r="214">
      <x:c r="A214" s="117"/>
      <x:c r="B214" s="117"/>
      <x:c r="C214" s="117"/>
      <x:c r="D214" s="117"/>
      <x:c r="E214" s="117"/>
      <x:c r="F214" s="117"/>
      <x:c r="G214" s="117"/>
      <x:c r="H214" s="117"/>
      <x:c r="I214" s="117"/>
      <x:c r="J214" s="117"/>
      <x:c r="K214" s="117"/>
      <x:c r="L214" s="117"/>
      <x:c r="M214" s="117"/>
      <x:c r="N214" s="117"/>
      <x:c r="O214" s="117"/>
      <x:c r="P214" s="117"/>
      <x:c r="Q214" s="117"/>
      <x:c r="R214" s="117"/>
      <x:c r="S214" s="117"/>
      <x:c r="T214" s="117"/>
      <x:c r="U214" s="117"/>
      <x:c r="V214" s="117"/>
      <x:c r="W214" s="117"/>
      <x:c r="X214" s="117"/>
      <x:c r="Y214" s="117"/>
    </x:row>
    <x:row r="215">
      <x:c r="A215" s="117"/>
      <x:c r="B215" s="117"/>
      <x:c r="C215" s="117"/>
      <x:c r="D215" s="117"/>
      <x:c r="E215" s="117"/>
      <x:c r="F215" s="117"/>
      <x:c r="G215" s="117"/>
      <x:c r="H215" s="117"/>
      <x:c r="I215" s="117"/>
      <x:c r="J215" s="117"/>
      <x:c r="K215" s="117"/>
      <x:c r="L215" s="117"/>
      <x:c r="M215" s="117"/>
      <x:c r="N215" s="117"/>
      <x:c r="O215" s="117"/>
      <x:c r="P215" s="117"/>
      <x:c r="Q215" s="117"/>
      <x:c r="R215" s="117"/>
      <x:c r="S215" s="117"/>
      <x:c r="T215" s="117"/>
      <x:c r="U215" s="117"/>
      <x:c r="V215" s="117"/>
      <x:c r="W215" s="117"/>
      <x:c r="X215" s="117"/>
      <x:c r="Y215" s="117"/>
    </x:row>
    <x:row r="216">
      <x:c r="A216" s="117"/>
      <x:c r="B216" s="117"/>
      <x:c r="C216" s="117"/>
      <x:c r="D216" s="117"/>
      <x:c r="E216" s="117"/>
      <x:c r="F216" s="117"/>
      <x:c r="G216" s="117"/>
      <x:c r="H216" s="117"/>
      <x:c r="I216" s="117"/>
      <x:c r="J216" s="117"/>
      <x:c r="K216" s="117"/>
      <x:c r="L216" s="117"/>
      <x:c r="M216" s="117"/>
      <x:c r="N216" s="117"/>
      <x:c r="O216" s="117"/>
      <x:c r="P216" s="117"/>
      <x:c r="Q216" s="117"/>
      <x:c r="R216" s="117"/>
      <x:c r="S216" s="117"/>
      <x:c r="T216" s="117"/>
      <x:c r="U216" s="117"/>
      <x:c r="V216" s="117"/>
      <x:c r="W216" s="117"/>
      <x:c r="X216" s="117"/>
      <x:c r="Y216" s="117"/>
    </x:row>
    <x:row r="217">
      <x:c r="A217" s="117"/>
      <x:c r="B217" s="117"/>
      <x:c r="C217" s="117"/>
      <x:c r="D217" s="117"/>
      <x:c r="E217" s="117"/>
      <x:c r="F217" s="117"/>
      <x:c r="G217" s="117"/>
      <x:c r="H217" s="117"/>
      <x:c r="I217" s="117"/>
      <x:c r="J217" s="117"/>
      <x:c r="K217" s="117"/>
      <x:c r="L217" s="117"/>
      <x:c r="M217" s="117"/>
      <x:c r="N217" s="117"/>
      <x:c r="O217" s="117"/>
      <x:c r="P217" s="117"/>
      <x:c r="Q217" s="117"/>
      <x:c r="R217" s="117"/>
      <x:c r="S217" s="117"/>
      <x:c r="T217" s="117"/>
      <x:c r="U217" s="117"/>
      <x:c r="V217" s="117"/>
      <x:c r="W217" s="117"/>
      <x:c r="X217" s="117"/>
      <x:c r="Y217" s="117"/>
    </x:row>
    <x:row r="218">
      <x:c r="A218" s="117"/>
      <x:c r="B218" s="117"/>
      <x:c r="C218" s="117"/>
      <x:c r="D218" s="117"/>
      <x:c r="E218" s="117"/>
      <x:c r="F218" s="117"/>
      <x:c r="G218" s="117"/>
      <x:c r="H218" s="117"/>
      <x:c r="I218" s="117"/>
      <x:c r="J218" s="117"/>
      <x:c r="K218" s="117"/>
      <x:c r="L218" s="117"/>
      <x:c r="M218" s="117"/>
      <x:c r="N218" s="117"/>
      <x:c r="O218" s="117"/>
      <x:c r="P218" s="117"/>
      <x:c r="Q218" s="117"/>
      <x:c r="R218" s="117"/>
      <x:c r="S218" s="117"/>
      <x:c r="T218" s="117"/>
      <x:c r="U218" s="117"/>
      <x:c r="V218" s="117"/>
      <x:c r="W218" s="117"/>
      <x:c r="X218" s="117"/>
      <x:c r="Y218" s="117"/>
    </x:row>
    <x:row r="219">
      <x:c r="A219" s="117"/>
      <x:c r="B219" s="117"/>
      <x:c r="C219" s="117"/>
      <x:c r="D219" s="117"/>
      <x:c r="E219" s="117"/>
      <x:c r="F219" s="117"/>
      <x:c r="G219" s="117"/>
      <x:c r="H219" s="117"/>
      <x:c r="I219" s="117"/>
      <x:c r="J219" s="117"/>
      <x:c r="K219" s="117"/>
      <x:c r="L219" s="117"/>
      <x:c r="M219" s="117"/>
      <x:c r="N219" s="117"/>
      <x:c r="O219" s="117"/>
      <x:c r="P219" s="117"/>
      <x:c r="Q219" s="117"/>
      <x:c r="R219" s="117"/>
      <x:c r="S219" s="117"/>
      <x:c r="T219" s="117"/>
      <x:c r="U219" s="117"/>
      <x:c r="V219" s="117"/>
      <x:c r="W219" s="117"/>
      <x:c r="X219" s="117"/>
      <x:c r="Y219" s="117"/>
    </x:row>
    <x:row r="220">
      <x:c r="A220" s="117"/>
      <x:c r="B220" s="117"/>
      <x:c r="C220" s="117"/>
      <x:c r="D220" s="117"/>
      <x:c r="E220" s="117"/>
      <x:c r="F220" s="117"/>
      <x:c r="G220" s="117"/>
      <x:c r="H220" s="117"/>
      <x:c r="I220" s="117"/>
      <x:c r="J220" s="117"/>
      <x:c r="K220" s="117"/>
      <x:c r="L220" s="117"/>
      <x:c r="M220" s="117"/>
      <x:c r="N220" s="117"/>
      <x:c r="O220" s="117"/>
      <x:c r="P220" s="117"/>
      <x:c r="Q220" s="117"/>
      <x:c r="R220" s="117"/>
      <x:c r="S220" s="117"/>
      <x:c r="T220" s="117"/>
      <x:c r="U220" s="117"/>
      <x:c r="V220" s="117"/>
      <x:c r="W220" s="117"/>
      <x:c r="X220" s="117"/>
      <x:c r="Y220" s="117"/>
    </x:row>
    <x:row r="221">
      <x:c r="A221" s="117"/>
      <x:c r="B221" s="117"/>
      <x:c r="C221" s="117"/>
      <x:c r="D221" s="117"/>
      <x:c r="E221" s="117"/>
      <x:c r="F221" s="117"/>
      <x:c r="G221" s="117"/>
      <x:c r="H221" s="117"/>
      <x:c r="I221" s="117"/>
      <x:c r="J221" s="117"/>
      <x:c r="K221" s="117"/>
      <x:c r="L221" s="117"/>
      <x:c r="M221" s="117"/>
      <x:c r="N221" s="117"/>
      <x:c r="O221" s="117"/>
      <x:c r="P221" s="117"/>
      <x:c r="Q221" s="117"/>
      <x:c r="R221" s="117"/>
      <x:c r="S221" s="117"/>
      <x:c r="T221" s="117"/>
      <x:c r="U221" s="117"/>
      <x:c r="V221" s="117"/>
      <x:c r="W221" s="117"/>
      <x:c r="X221" s="117"/>
      <x:c r="Y221" s="117"/>
    </x:row>
    <x:row r="222">
      <x:c r="A222" s="117"/>
      <x:c r="B222" s="117"/>
      <x:c r="C222" s="117"/>
      <x:c r="D222" s="117"/>
      <x:c r="E222" s="117"/>
      <x:c r="F222" s="117"/>
      <x:c r="G222" s="117"/>
      <x:c r="H222" s="117"/>
      <x:c r="I222" s="117"/>
      <x:c r="J222" s="117"/>
      <x:c r="K222" s="117"/>
      <x:c r="L222" s="117"/>
      <x:c r="M222" s="117"/>
      <x:c r="N222" s="117"/>
      <x:c r="O222" s="117"/>
      <x:c r="P222" s="117"/>
      <x:c r="Q222" s="117"/>
      <x:c r="R222" s="117"/>
      <x:c r="S222" s="117"/>
      <x:c r="T222" s="117"/>
      <x:c r="U222" s="117"/>
      <x:c r="V222" s="117"/>
      <x:c r="W222" s="117"/>
      <x:c r="X222" s="117"/>
      <x:c r="Y222" s="117"/>
    </x:row>
    <x:row r="223">
      <x:c r="A223" s="117"/>
      <x:c r="B223" s="117"/>
      <x:c r="C223" s="117"/>
      <x:c r="D223" s="117"/>
      <x:c r="E223" s="117"/>
      <x:c r="F223" s="117"/>
      <x:c r="G223" s="117"/>
      <x:c r="H223" s="117"/>
      <x:c r="I223" s="117"/>
      <x:c r="J223" s="117"/>
      <x:c r="K223" s="117"/>
      <x:c r="L223" s="117"/>
      <x:c r="M223" s="117"/>
      <x:c r="N223" s="117"/>
      <x:c r="O223" s="117"/>
      <x:c r="P223" s="117"/>
      <x:c r="Q223" s="117"/>
      <x:c r="R223" s="117"/>
      <x:c r="S223" s="117"/>
      <x:c r="T223" s="117"/>
      <x:c r="U223" s="117"/>
      <x:c r="V223" s="117"/>
      <x:c r="W223" s="117"/>
      <x:c r="X223" s="117"/>
      <x:c r="Y223" s="117"/>
    </x:row>
    <x:row r="224">
      <x:c r="A224" s="117"/>
      <x:c r="B224" s="117"/>
      <x:c r="C224" s="117"/>
      <x:c r="D224" s="117"/>
      <x:c r="E224" s="117"/>
      <x:c r="F224" s="117"/>
      <x:c r="G224" s="117"/>
      <x:c r="H224" s="117"/>
      <x:c r="I224" s="117"/>
      <x:c r="J224" s="117"/>
      <x:c r="K224" s="117"/>
      <x:c r="L224" s="117"/>
      <x:c r="M224" s="117"/>
      <x:c r="N224" s="117"/>
      <x:c r="O224" s="117"/>
      <x:c r="P224" s="117"/>
      <x:c r="Q224" s="117"/>
      <x:c r="R224" s="117"/>
      <x:c r="S224" s="117"/>
      <x:c r="T224" s="117"/>
      <x:c r="U224" s="117"/>
      <x:c r="V224" s="117"/>
      <x:c r="W224" s="117"/>
      <x:c r="X224" s="117"/>
      <x:c r="Y224" s="117"/>
    </x:row>
    <x:row r="225">
      <x:c r="A225" s="117"/>
      <x:c r="B225" s="117"/>
      <x:c r="C225" s="117"/>
      <x:c r="D225" s="117"/>
      <x:c r="E225" s="117"/>
      <x:c r="F225" s="117"/>
      <x:c r="G225" s="117"/>
      <x:c r="H225" s="117"/>
      <x:c r="I225" s="117"/>
      <x:c r="J225" s="117"/>
      <x:c r="K225" s="117"/>
      <x:c r="L225" s="117"/>
      <x:c r="M225" s="117"/>
      <x:c r="N225" s="117"/>
      <x:c r="O225" s="117"/>
      <x:c r="P225" s="117"/>
      <x:c r="Q225" s="117"/>
      <x:c r="R225" s="117"/>
      <x:c r="S225" s="117"/>
      <x:c r="T225" s="117"/>
      <x:c r="U225" s="117"/>
      <x:c r="V225" s="117"/>
      <x:c r="W225" s="117"/>
      <x:c r="X225" s="117"/>
      <x:c r="Y225" s="117"/>
    </x:row>
    <x:row r="226">
      <x:c r="A226" s="117"/>
      <x:c r="B226" s="117"/>
      <x:c r="C226" s="117"/>
      <x:c r="D226" s="117"/>
      <x:c r="E226" s="117"/>
      <x:c r="F226" s="117"/>
      <x:c r="G226" s="117"/>
      <x:c r="H226" s="117"/>
      <x:c r="I226" s="117"/>
      <x:c r="J226" s="117"/>
      <x:c r="K226" s="117"/>
      <x:c r="L226" s="117"/>
      <x:c r="M226" s="117"/>
      <x:c r="N226" s="117"/>
      <x:c r="O226" s="117"/>
      <x:c r="P226" s="117"/>
      <x:c r="Q226" s="117"/>
      <x:c r="R226" s="117"/>
      <x:c r="S226" s="117"/>
      <x:c r="T226" s="117"/>
      <x:c r="U226" s="117"/>
      <x:c r="V226" s="117"/>
      <x:c r="W226" s="117"/>
      <x:c r="X226" s="117"/>
      <x:c r="Y226" s="117"/>
    </x:row>
    <x:row r="227">
      <x:c r="A227" s="117"/>
      <x:c r="B227" s="117"/>
      <x:c r="C227" s="117"/>
      <x:c r="D227" s="117"/>
      <x:c r="E227" s="117"/>
      <x:c r="F227" s="117"/>
      <x:c r="G227" s="117"/>
      <x:c r="H227" s="117"/>
      <x:c r="I227" s="117"/>
      <x:c r="J227" s="117"/>
      <x:c r="K227" s="117"/>
      <x:c r="L227" s="117"/>
      <x:c r="M227" s="117"/>
      <x:c r="N227" s="117"/>
      <x:c r="O227" s="117"/>
      <x:c r="P227" s="117"/>
      <x:c r="Q227" s="117"/>
      <x:c r="R227" s="117"/>
      <x:c r="S227" s="117"/>
      <x:c r="T227" s="117"/>
      <x:c r="U227" s="117"/>
      <x:c r="V227" s="117"/>
      <x:c r="W227" s="117"/>
      <x:c r="X227" s="117"/>
      <x:c r="Y227" s="117"/>
    </x:row>
    <x:row r="228">
      <x:c r="A228" s="117"/>
      <x:c r="B228" s="117"/>
      <x:c r="C228" s="117"/>
      <x:c r="D228" s="117"/>
      <x:c r="E228" s="117"/>
      <x:c r="F228" s="117"/>
      <x:c r="G228" s="117"/>
      <x:c r="H228" s="117"/>
      <x:c r="I228" s="117"/>
      <x:c r="J228" s="117"/>
      <x:c r="K228" s="117"/>
      <x:c r="L228" s="117"/>
      <x:c r="M228" s="117"/>
      <x:c r="N228" s="117"/>
      <x:c r="O228" s="117"/>
      <x:c r="P228" s="117"/>
      <x:c r="Q228" s="117"/>
      <x:c r="R228" s="117"/>
      <x:c r="S228" s="117"/>
      <x:c r="T228" s="117"/>
      <x:c r="U228" s="117"/>
      <x:c r="V228" s="117"/>
      <x:c r="W228" s="117"/>
      <x:c r="X228" s="117"/>
      <x:c r="Y228" s="117"/>
    </x:row>
    <x:row r="229">
      <x:c r="A229" s="117"/>
      <x:c r="B229" s="117"/>
      <x:c r="C229" s="117"/>
      <x:c r="D229" s="117"/>
      <x:c r="E229" s="117"/>
      <x:c r="F229" s="117"/>
      <x:c r="G229" s="117"/>
      <x:c r="H229" s="117"/>
      <x:c r="I229" s="117"/>
      <x:c r="J229" s="117"/>
      <x:c r="K229" s="117"/>
      <x:c r="L229" s="117"/>
      <x:c r="M229" s="117"/>
      <x:c r="N229" s="117"/>
      <x:c r="O229" s="117"/>
      <x:c r="P229" s="117"/>
      <x:c r="Q229" s="117"/>
      <x:c r="R229" s="117"/>
      <x:c r="S229" s="117"/>
      <x:c r="T229" s="117"/>
      <x:c r="U229" s="117"/>
      <x:c r="V229" s="117"/>
      <x:c r="W229" s="117"/>
      <x:c r="X229" s="117"/>
      <x:c r="Y229" s="117"/>
    </x:row>
    <x:row r="230">
      <x:c r="A230" s="117"/>
      <x:c r="B230" s="117"/>
      <x:c r="C230" s="117"/>
      <x:c r="D230" s="117"/>
      <x:c r="E230" s="117"/>
      <x:c r="F230" s="117"/>
      <x:c r="G230" s="117"/>
      <x:c r="H230" s="117"/>
      <x:c r="I230" s="117"/>
      <x:c r="J230" s="117"/>
      <x:c r="K230" s="117"/>
      <x:c r="L230" s="117"/>
      <x:c r="M230" s="117"/>
      <x:c r="N230" s="117"/>
      <x:c r="O230" s="117"/>
      <x:c r="P230" s="117"/>
      <x:c r="Q230" s="117"/>
      <x:c r="R230" s="117"/>
      <x:c r="S230" s="117"/>
      <x:c r="T230" s="117"/>
      <x:c r="U230" s="117"/>
      <x:c r="V230" s="117"/>
      <x:c r="W230" s="117"/>
      <x:c r="X230" s="117"/>
      <x:c r="Y230" s="117"/>
    </x:row>
    <x:row r="231">
      <x:c r="A231" s="117"/>
      <x:c r="B231" s="117"/>
      <x:c r="C231" s="117"/>
      <x:c r="D231" s="117"/>
      <x:c r="E231" s="117"/>
      <x:c r="F231" s="117"/>
      <x:c r="G231" s="117"/>
      <x:c r="H231" s="117"/>
      <x:c r="I231" s="117"/>
      <x:c r="J231" s="117"/>
      <x:c r="K231" s="117"/>
      <x:c r="L231" s="117"/>
      <x:c r="M231" s="117"/>
      <x:c r="N231" s="117"/>
      <x:c r="O231" s="117"/>
      <x:c r="P231" s="117"/>
      <x:c r="Q231" s="117"/>
      <x:c r="R231" s="117"/>
      <x:c r="S231" s="117"/>
      <x:c r="T231" s="117"/>
      <x:c r="U231" s="117"/>
      <x:c r="V231" s="117"/>
      <x:c r="W231" s="117"/>
      <x:c r="X231" s="117"/>
      <x:c r="Y231" s="117"/>
    </x:row>
    <x:row r="232">
      <x:c r="A232" s="117"/>
      <x:c r="B232" s="117"/>
      <x:c r="C232" s="117"/>
      <x:c r="D232" s="117"/>
      <x:c r="E232" s="117"/>
      <x:c r="F232" s="117"/>
      <x:c r="G232" s="117"/>
      <x:c r="H232" s="117"/>
      <x:c r="I232" s="117"/>
      <x:c r="J232" s="117"/>
      <x:c r="K232" s="117"/>
      <x:c r="L232" s="117"/>
      <x:c r="M232" s="117"/>
      <x:c r="N232" s="117"/>
      <x:c r="O232" s="117"/>
      <x:c r="P232" s="117"/>
      <x:c r="Q232" s="117"/>
      <x:c r="R232" s="117"/>
      <x:c r="S232" s="117"/>
      <x:c r="T232" s="117"/>
      <x:c r="U232" s="117"/>
      <x:c r="V232" s="117"/>
      <x:c r="W232" s="117"/>
      <x:c r="X232" s="117"/>
      <x:c r="Y232" s="117"/>
    </x:row>
    <x:row r="233">
      <x:c r="A233" s="117"/>
      <x:c r="B233" s="117"/>
      <x:c r="C233" s="117"/>
      <x:c r="D233" s="117"/>
      <x:c r="E233" s="117"/>
      <x:c r="F233" s="117"/>
      <x:c r="G233" s="117"/>
      <x:c r="H233" s="117"/>
      <x:c r="I233" s="117"/>
      <x:c r="J233" s="117"/>
      <x:c r="K233" s="117"/>
      <x:c r="L233" s="117"/>
      <x:c r="M233" s="117"/>
      <x:c r="N233" s="117"/>
      <x:c r="O233" s="117"/>
      <x:c r="P233" s="117"/>
      <x:c r="Q233" s="117"/>
      <x:c r="R233" s="117"/>
      <x:c r="S233" s="117"/>
      <x:c r="T233" s="117"/>
      <x:c r="U233" s="117"/>
      <x:c r="V233" s="117"/>
      <x:c r="W233" s="117"/>
      <x:c r="X233" s="117"/>
      <x:c r="Y233" s="117"/>
    </x:row>
    <x:row r="234">
      <x:c r="A234" s="117"/>
      <x:c r="B234" s="117"/>
      <x:c r="C234" s="117"/>
      <x:c r="D234" s="117"/>
      <x:c r="E234" s="117"/>
      <x:c r="F234" s="117"/>
      <x:c r="G234" s="117"/>
      <x:c r="H234" s="117"/>
      <x:c r="I234" s="117"/>
      <x:c r="J234" s="117"/>
      <x:c r="K234" s="117"/>
      <x:c r="L234" s="117"/>
      <x:c r="M234" s="117"/>
      <x:c r="N234" s="117"/>
      <x:c r="O234" s="117"/>
      <x:c r="P234" s="117"/>
      <x:c r="Q234" s="117"/>
      <x:c r="R234" s="117"/>
      <x:c r="S234" s="117"/>
      <x:c r="T234" s="117"/>
      <x:c r="U234" s="117"/>
      <x:c r="V234" s="117"/>
      <x:c r="W234" s="117"/>
      <x:c r="X234" s="117"/>
      <x:c r="Y234" s="117"/>
    </x:row>
    <x:row r="235">
      <x:c r="A235" s="117"/>
      <x:c r="B235" s="117"/>
      <x:c r="C235" s="117"/>
      <x:c r="D235" s="117"/>
      <x:c r="E235" s="117"/>
      <x:c r="F235" s="117"/>
      <x:c r="G235" s="117"/>
      <x:c r="H235" s="117"/>
      <x:c r="I235" s="117"/>
      <x:c r="J235" s="117"/>
      <x:c r="K235" s="117"/>
      <x:c r="L235" s="117"/>
      <x:c r="M235" s="117"/>
      <x:c r="N235" s="117"/>
      <x:c r="O235" s="117"/>
      <x:c r="P235" s="117"/>
      <x:c r="Q235" s="117"/>
      <x:c r="R235" s="117"/>
      <x:c r="S235" s="117"/>
      <x:c r="T235" s="117"/>
      <x:c r="U235" s="117"/>
      <x:c r="V235" s="117"/>
      <x:c r="W235" s="117"/>
      <x:c r="X235" s="117"/>
      <x:c r="Y235" s="117"/>
    </x:row>
    <x:row r="236">
      <x:c r="A236" s="117"/>
      <x:c r="B236" s="117"/>
      <x:c r="C236" s="117"/>
      <x:c r="D236" s="117"/>
      <x:c r="E236" s="117"/>
      <x:c r="F236" s="117"/>
      <x:c r="G236" s="117"/>
      <x:c r="H236" s="117"/>
      <x:c r="I236" s="117"/>
      <x:c r="J236" s="117"/>
      <x:c r="K236" s="117"/>
      <x:c r="L236" s="117"/>
      <x:c r="M236" s="117"/>
      <x:c r="N236" s="117"/>
      <x:c r="O236" s="117"/>
      <x:c r="P236" s="117"/>
      <x:c r="Q236" s="117"/>
      <x:c r="R236" s="117"/>
      <x:c r="S236" s="117"/>
      <x:c r="T236" s="117"/>
      <x:c r="U236" s="117"/>
      <x:c r="V236" s="117"/>
      <x:c r="W236" s="117"/>
      <x:c r="X236" s="117"/>
      <x:c r="Y236" s="117"/>
    </x:row>
    <x:row r="237">
      <x:c r="A237" s="117"/>
      <x:c r="B237" s="117"/>
      <x:c r="C237" s="117"/>
      <x:c r="D237" s="117"/>
      <x:c r="E237" s="117"/>
      <x:c r="F237" s="117"/>
      <x:c r="G237" s="117"/>
      <x:c r="H237" s="117"/>
      <x:c r="I237" s="117"/>
      <x:c r="J237" s="117"/>
      <x:c r="K237" s="117"/>
      <x:c r="L237" s="117"/>
      <x:c r="M237" s="117"/>
      <x:c r="N237" s="117"/>
      <x:c r="O237" s="117"/>
      <x:c r="P237" s="117"/>
      <x:c r="Q237" s="117"/>
      <x:c r="R237" s="117"/>
      <x:c r="S237" s="117"/>
      <x:c r="T237" s="117"/>
      <x:c r="U237" s="117"/>
      <x:c r="V237" s="117"/>
      <x:c r="W237" s="117"/>
      <x:c r="X237" s="117"/>
      <x:c r="Y237" s="117"/>
    </x:row>
    <x:row r="238">
      <x:c r="A238" s="117"/>
      <x:c r="B238" s="117"/>
      <x:c r="C238" s="117"/>
      <x:c r="D238" s="117"/>
      <x:c r="E238" s="117"/>
      <x:c r="F238" s="117"/>
      <x:c r="G238" s="117"/>
      <x:c r="H238" s="117"/>
      <x:c r="I238" s="117"/>
      <x:c r="J238" s="117"/>
      <x:c r="K238" s="117"/>
      <x:c r="L238" s="117"/>
      <x:c r="M238" s="117"/>
      <x:c r="N238" s="117"/>
      <x:c r="O238" s="117"/>
      <x:c r="P238" s="117"/>
      <x:c r="Q238" s="117"/>
      <x:c r="R238" s="117"/>
      <x:c r="S238" s="117"/>
      <x:c r="T238" s="117"/>
      <x:c r="U238" s="117"/>
      <x:c r="V238" s="117"/>
      <x:c r="W238" s="117"/>
      <x:c r="X238" s="117"/>
      <x:c r="Y238" s="117"/>
    </x:row>
    <x:row r="239">
      <x:c r="A239" s="117"/>
      <x:c r="B239" s="117"/>
      <x:c r="C239" s="117"/>
      <x:c r="D239" s="117"/>
      <x:c r="E239" s="117"/>
      <x:c r="F239" s="117"/>
      <x:c r="G239" s="117"/>
      <x:c r="H239" s="117"/>
      <x:c r="I239" s="117"/>
      <x:c r="J239" s="117"/>
      <x:c r="K239" s="117"/>
      <x:c r="L239" s="117"/>
      <x:c r="M239" s="117"/>
      <x:c r="N239" s="117"/>
      <x:c r="O239" s="117"/>
      <x:c r="P239" s="117"/>
      <x:c r="Q239" s="117"/>
      <x:c r="R239" s="117"/>
      <x:c r="S239" s="117"/>
      <x:c r="T239" s="117"/>
      <x:c r="U239" s="117"/>
      <x:c r="V239" s="117"/>
      <x:c r="W239" s="117"/>
      <x:c r="X239" s="117"/>
      <x:c r="Y239" s="117"/>
    </x:row>
    <x:row r="240">
      <x:c r="A240" s="117"/>
      <x:c r="B240" s="117"/>
      <x:c r="C240" s="117"/>
      <x:c r="D240" s="117"/>
      <x:c r="E240" s="117"/>
      <x:c r="F240" s="117"/>
      <x:c r="G240" s="117"/>
      <x:c r="H240" s="117"/>
      <x:c r="I240" s="117"/>
      <x:c r="J240" s="117"/>
      <x:c r="K240" s="117"/>
      <x:c r="L240" s="117"/>
      <x:c r="M240" s="117"/>
      <x:c r="N240" s="117"/>
      <x:c r="O240" s="117"/>
      <x:c r="P240" s="117"/>
      <x:c r="Q240" s="117"/>
      <x:c r="R240" s="117"/>
      <x:c r="S240" s="117"/>
      <x:c r="T240" s="117"/>
      <x:c r="U240" s="117"/>
      <x:c r="V240" s="117"/>
      <x:c r="W240" s="117"/>
      <x:c r="X240" s="117"/>
      <x:c r="Y240" s="117"/>
    </x:row>
    <x:row r="241">
      <x:c r="A241" s="117"/>
      <x:c r="B241" s="117"/>
      <x:c r="C241" s="117"/>
      <x:c r="D241" s="117"/>
      <x:c r="E241" s="117"/>
      <x:c r="F241" s="117"/>
      <x:c r="G241" s="117"/>
      <x:c r="H241" s="117"/>
      <x:c r="I241" s="117"/>
      <x:c r="J241" s="117"/>
      <x:c r="K241" s="117"/>
      <x:c r="L241" s="117"/>
      <x:c r="M241" s="117"/>
      <x:c r="N241" s="117"/>
      <x:c r="O241" s="117"/>
      <x:c r="P241" s="117"/>
      <x:c r="Q241" s="117"/>
      <x:c r="R241" s="117"/>
      <x:c r="S241" s="117"/>
      <x:c r="T241" s="117"/>
      <x:c r="U241" s="117"/>
      <x:c r="V241" s="117"/>
      <x:c r="W241" s="117"/>
      <x:c r="X241" s="117"/>
      <x:c r="Y241" s="117"/>
    </x:row>
    <x:row r="242">
      <x:c r="A242" s="117"/>
      <x:c r="B242" s="117"/>
      <x:c r="C242" s="117"/>
      <x:c r="D242" s="117"/>
      <x:c r="E242" s="117"/>
      <x:c r="F242" s="117"/>
      <x:c r="G242" s="117"/>
      <x:c r="H242" s="117"/>
      <x:c r="I242" s="117"/>
      <x:c r="J242" s="117"/>
      <x:c r="K242" s="117"/>
      <x:c r="L242" s="117"/>
      <x:c r="M242" s="117"/>
      <x:c r="N242" s="117"/>
      <x:c r="O242" s="117"/>
      <x:c r="P242" s="117"/>
      <x:c r="Q242" s="117"/>
      <x:c r="R242" s="117"/>
      <x:c r="S242" s="117"/>
      <x:c r="T242" s="117"/>
      <x:c r="U242" s="117"/>
      <x:c r="V242" s="117"/>
      <x:c r="W242" s="117"/>
      <x:c r="X242" s="117"/>
      <x:c r="Y242" s="117"/>
    </x:row>
    <x:row r="243">
      <x:c r="A243" s="117"/>
      <x:c r="B243" s="117"/>
      <x:c r="C243" s="117"/>
      <x:c r="D243" s="117"/>
      <x:c r="E243" s="117"/>
      <x:c r="F243" s="117"/>
      <x:c r="G243" s="117"/>
      <x:c r="H243" s="117"/>
      <x:c r="I243" s="117"/>
      <x:c r="J243" s="117"/>
      <x:c r="K243" s="117"/>
      <x:c r="L243" s="117"/>
      <x:c r="M243" s="117"/>
      <x:c r="N243" s="117"/>
      <x:c r="O243" s="117"/>
      <x:c r="P243" s="117"/>
      <x:c r="Q243" s="117"/>
      <x:c r="R243" s="117"/>
      <x:c r="S243" s="117"/>
      <x:c r="T243" s="117"/>
      <x:c r="U243" s="117"/>
      <x:c r="V243" s="117"/>
      <x:c r="W243" s="117"/>
      <x:c r="X243" s="117"/>
      <x:c r="Y243" s="117"/>
    </x:row>
    <x:row r="244">
      <x:c r="A244" s="117"/>
      <x:c r="B244" s="117"/>
      <x:c r="C244" s="117"/>
      <x:c r="D244" s="117"/>
      <x:c r="E244" s="117"/>
      <x:c r="F244" s="117"/>
      <x:c r="G244" s="117"/>
      <x:c r="H244" s="117"/>
      <x:c r="I244" s="117"/>
      <x:c r="J244" s="117"/>
      <x:c r="K244" s="117"/>
      <x:c r="L244" s="117"/>
      <x:c r="M244" s="117"/>
      <x:c r="N244" s="117"/>
      <x:c r="O244" s="117"/>
      <x:c r="P244" s="117"/>
      <x:c r="Q244" s="117"/>
      <x:c r="R244" s="117"/>
      <x:c r="S244" s="117"/>
      <x:c r="T244" s="117"/>
      <x:c r="U244" s="117"/>
      <x:c r="V244" s="117"/>
      <x:c r="W244" s="117"/>
      <x:c r="X244" s="117"/>
      <x:c r="Y244" s="117"/>
    </x:row>
    <x:row r="245">
      <x:c r="A245" s="117"/>
      <x:c r="B245" s="117"/>
      <x:c r="C245" s="117"/>
      <x:c r="D245" s="117"/>
      <x:c r="E245" s="117"/>
      <x:c r="F245" s="117"/>
      <x:c r="G245" s="117"/>
      <x:c r="H245" s="117"/>
      <x:c r="I245" s="117"/>
      <x:c r="J245" s="117"/>
      <x:c r="K245" s="117"/>
      <x:c r="L245" s="117"/>
      <x:c r="M245" s="117"/>
      <x:c r="N245" s="117"/>
      <x:c r="O245" s="117"/>
      <x:c r="P245" s="117"/>
      <x:c r="Q245" s="117"/>
      <x:c r="R245" s="117"/>
      <x:c r="S245" s="117"/>
      <x:c r="T245" s="117"/>
      <x:c r="U245" s="117"/>
      <x:c r="V245" s="117"/>
      <x:c r="W245" s="117"/>
      <x:c r="X245" s="117"/>
      <x:c r="Y245" s="117"/>
    </x:row>
    <x:row r="246">
      <x:c r="A246" s="117"/>
      <x:c r="B246" s="117"/>
      <x:c r="C246" s="117"/>
      <x:c r="D246" s="117"/>
      <x:c r="E246" s="117"/>
      <x:c r="F246" s="117"/>
      <x:c r="G246" s="117"/>
      <x:c r="H246" s="117"/>
      <x:c r="I246" s="117"/>
      <x:c r="J246" s="117"/>
      <x:c r="K246" s="117"/>
      <x:c r="L246" s="117"/>
      <x:c r="M246" s="117"/>
      <x:c r="N246" s="117"/>
      <x:c r="O246" s="117"/>
      <x:c r="P246" s="117"/>
      <x:c r="Q246" s="117"/>
      <x:c r="R246" s="117"/>
      <x:c r="S246" s="117"/>
      <x:c r="T246" s="117"/>
      <x:c r="U246" s="117"/>
      <x:c r="V246" s="117"/>
      <x:c r="W246" s="117"/>
      <x:c r="X246" s="117"/>
      <x:c r="Y246" s="117"/>
    </x:row>
    <x:row r="247">
      <x:c r="A247" s="117"/>
      <x:c r="B247" s="117"/>
      <x:c r="C247" s="117"/>
      <x:c r="D247" s="117"/>
      <x:c r="E247" s="117"/>
      <x:c r="F247" s="117"/>
      <x:c r="G247" s="117"/>
      <x:c r="H247" s="117"/>
      <x:c r="I247" s="117"/>
      <x:c r="J247" s="117"/>
      <x:c r="K247" s="117"/>
      <x:c r="L247" s="117"/>
      <x:c r="M247" s="117"/>
      <x:c r="N247" s="117"/>
      <x:c r="O247" s="117"/>
      <x:c r="P247" s="117"/>
      <x:c r="Q247" s="117"/>
      <x:c r="R247" s="117"/>
      <x:c r="S247" s="117"/>
      <x:c r="T247" s="117"/>
      <x:c r="U247" s="117"/>
      <x:c r="V247" s="117"/>
      <x:c r="W247" s="117"/>
      <x:c r="X247" s="117"/>
      <x:c r="Y247" s="117"/>
    </x:row>
    <x:row r="248">
      <x:c r="A248" s="117"/>
      <x:c r="B248" s="117"/>
      <x:c r="C248" s="117"/>
      <x:c r="D248" s="117"/>
      <x:c r="E248" s="117"/>
      <x:c r="F248" s="117"/>
      <x:c r="G248" s="117"/>
      <x:c r="H248" s="117"/>
      <x:c r="I248" s="117"/>
      <x:c r="J248" s="117"/>
      <x:c r="K248" s="117"/>
      <x:c r="L248" s="117"/>
      <x:c r="M248" s="117"/>
      <x:c r="N248" s="117"/>
      <x:c r="O248" s="117"/>
      <x:c r="P248" s="117"/>
      <x:c r="Q248" s="117"/>
      <x:c r="R248" s="117"/>
      <x:c r="S248" s="117"/>
      <x:c r="T248" s="117"/>
      <x:c r="U248" s="117"/>
      <x:c r="V248" s="117"/>
      <x:c r="W248" s="117"/>
      <x:c r="X248" s="117"/>
      <x:c r="Y248" s="117"/>
    </x:row>
    <x:row r="249">
      <x:c r="A249" s="117"/>
      <x:c r="B249" s="117"/>
      <x:c r="C249" s="117"/>
      <x:c r="D249" s="117"/>
      <x:c r="E249" s="117"/>
      <x:c r="F249" s="117"/>
      <x:c r="G249" s="117"/>
      <x:c r="H249" s="117"/>
      <x:c r="I249" s="117"/>
      <x:c r="J249" s="117"/>
      <x:c r="K249" s="117"/>
      <x:c r="L249" s="117"/>
      <x:c r="M249" s="117"/>
      <x:c r="N249" s="117"/>
      <x:c r="O249" s="117"/>
      <x:c r="P249" s="117"/>
      <x:c r="Q249" s="117"/>
      <x:c r="R249" s="117"/>
      <x:c r="S249" s="117"/>
      <x:c r="T249" s="117"/>
      <x:c r="U249" s="117"/>
      <x:c r="V249" s="117"/>
      <x:c r="W249" s="117"/>
      <x:c r="X249" s="117"/>
      <x:c r="Y249" s="117"/>
    </x:row>
    <x:row r="250">
      <x:c r="A250" s="117"/>
      <x:c r="B250" s="117"/>
      <x:c r="C250" s="117"/>
      <x:c r="D250" s="117"/>
      <x:c r="E250" s="117"/>
      <x:c r="F250" s="117"/>
      <x:c r="G250" s="117"/>
      <x:c r="H250" s="117"/>
      <x:c r="I250" s="117"/>
      <x:c r="J250" s="117"/>
      <x:c r="K250" s="117"/>
      <x:c r="L250" s="117"/>
      <x:c r="M250" s="117"/>
      <x:c r="N250" s="117"/>
      <x:c r="O250" s="117"/>
      <x:c r="P250" s="117"/>
      <x:c r="Q250" s="117"/>
      <x:c r="R250" s="117"/>
      <x:c r="S250" s="117"/>
      <x:c r="T250" s="117"/>
      <x:c r="U250" s="117"/>
      <x:c r="V250" s="117"/>
      <x:c r="W250" s="117"/>
      <x:c r="X250" s="117"/>
      <x:c r="Y250" s="117"/>
    </x:row>
  </x:sheetData>
  <x:mergeCells>
    <x:mergeCell ref="A1:H2"/>
    <x:mergeCell ref="A3:H3"/>
    <x:mergeCell ref="A18:H18"/>
    <x:mergeCell ref="A19:H26"/>
    <x:mergeCell ref="A29:H29"/>
  </x:mergeCells>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31" hidden="0" customWidth="1"/>
    <x:col min="3" max="3" width="22" hidden="0" customWidth="1"/>
    <x:col min="4" max="4" width="32" hidden="0" customWidth="1"/>
    <x:col min="5" max="5" width="21" hidden="0" customWidth="1"/>
    <x:col min="6" max="6" width="23" hidden="0" customWidth="1"/>
    <x:col min="7" max="7" width="25" hidden="0" customWidth="1"/>
    <x:col min="8" max="8" width="24" hidden="0" customWidth="1"/>
    <x:col min="9" max="9" width="40" hidden="0" customWidth="1"/>
    <x:col min="10" max="10" width="19" hidden="0" customWidth="1"/>
    <x:col min="11" max="11" width="11" hidden="0" customWidth="1"/>
    <x:col min="12" max="12" width="10" hidden="0" customWidth="1"/>
    <x:col min="13" max="13" width="11" hidden="0" customWidth="1"/>
    <x:col min="14" max="14" width="13" hidden="0" customWidth="1"/>
    <x:col min="15" max="15" width="13" hidden="0" customWidth="1"/>
    <x:col min="16" max="16" width="16" hidden="0" customWidth="1"/>
    <x:col min="17" max="17" width="27" hidden="0" customWidth="1"/>
    <x:col min="18" max="18" width="27" hidden="0" customWidth="1"/>
    <x:col min="19" max="19" width="30" hidden="0" customWidth="1"/>
    <x:col min="20" max="20" width="13" hidden="0" customWidth="1"/>
    <x:col min="21" max="21" width="34" hidden="0" customWidth="1"/>
    <x:col min="22" max="22" width="18" hidden="0" customWidth="1"/>
    <x:col min="23" max="23" width="42" hidden="0" customWidth="1"/>
    <x:col min="24" max="24" width="10" hidden="0" customWidth="1"/>
    <x:col min="25" max="25" width="10" hidden="0" customWidth="1"/>
  </x:cols>
  <x:sheetData>
    <x:row r="1" ht="44" customHeight="1">
      <x:c r="A1" s="54" t="str">
        <x:v>Asset ID</x:v>
      </x:c>
      <x:c r="B1" s="54" t="str">
        <x:v>Asset Name</x:v>
      </x:c>
      <x:c r="C1" s="54" t="str">
        <x:v>Asset Category</x:v>
      </x:c>
      <x:c r="D1" s="54" t="str">
        <x:v>Business Function</x:v>
      </x:c>
      <x:c r="E1" s="54" t="str">
        <x:v>Asset Owner</x:v>
      </x:c>
      <x:c r="F1" s="54" t="str">
        <x:v>Technical Owner</x:v>
      </x:c>
      <x:c r="G1" s="54" t="str">
        <x:v>Location / Hosting</x:v>
      </x:c>
      <x:c r="H1" s="54" t="str">
        <x:v>Platform / Vendor</x:v>
      </x:c>
      <x:c r="I1" s="54" t="str">
        <x:v>Primary Data</x:v>
      </x:c>
      <x:c r="J1" s="54" t="str">
        <x:v>Data Classification</x:v>
      </x:c>
      <x:c r="K1" s="54" t="str">
        <x:v>Confidentiality</x:v>
      </x:c>
      <x:c r="L1" s="54" t="str">
        <x:v>Integrity</x:v>
      </x:c>
      <x:c r="M1" s="54" t="str">
        <x:v>Availability</x:v>
      </x:c>
      <x:c r="N1" s="54" t="str">
        <x:v>Criticality Score</x:v>
      </x:c>
      <x:c r="O1" s="54" t="str">
        <x:v>Criticality</x:v>
      </x:c>
      <x:c r="P1" s="54" t="str">
        <x:v>Internet Exposure</x:v>
      </x:c>
      <x:c r="Q1" s="54" t="str">
        <x:v>Authentication</x:v>
      </x:c>
      <x:c r="R1" s="54" t="str">
        <x:v>Backup / Recovery</x:v>
      </x:c>
      <x:c r="S1" s="54" t="str">
        <x:v>Logging / Monitoring</x:v>
      </x:c>
      <x:c r="T1" s="54" t="str">
        <x:v>Lifecycle</x:v>
      </x:c>
      <x:c r="U1" s="54" t="str">
        <x:v>Key Dependencies</x:v>
      </x:c>
      <x:c r="V1" s="54" t="str">
        <x:v>Security Posture</x:v>
      </x:c>
      <x:c r="W1" s="54" t="str">
        <x:v>Known Concern / Observation</x:v>
      </x:c>
      <x:c r="X1" s="54" t="str">
        <x:v>RTO (hrs)</x:v>
      </x:c>
      <x:c r="Y1" s="54" t="str">
        <x:v>RPO (hrs)</x:v>
      </x:c>
    </x:row>
    <x:row r="2">
      <x:c r="A2" s="62" t="str">
        <x:v>AST-001</x:v>
      </x:c>
      <x:c r="B2" s="62" t="str">
        <x:v>Microsoft 365 Tenant</x:v>
      </x:c>
      <x:c r="C2" s="62" t="str">
        <x:v>Cloud / SaaS</x:v>
      </x:c>
      <x:c r="D2" s="62" t="str">
        <x:v>Email, collaboration, identity-integrated productivity</x:v>
      </x:c>
      <x:c r="E2" s="62" t="str">
        <x:v>COO</x:v>
      </x:c>
      <x:c r="F2" s="62" t="str">
        <x:v>IT Manager</x:v>
      </x:c>
      <x:c r="G2" s="62" t="str">
        <x:v>Cloud</x:v>
      </x:c>
      <x:c r="H2" s="62" t="str">
        <x:v>Microsoft</x:v>
      </x:c>
      <x:c r="I2" s="62" t="str">
        <x:v>Email, files, contacts, calendars</x:v>
      </x:c>
      <x:c r="J2" s="62" t="str">
        <x:v>Highly Confidential</x:v>
      </x:c>
      <x:c r="K2" s="62" t="n">
        <x:v>5</x:v>
      </x:c>
      <x:c r="L2" s="62" t="n">
        <x:v>5</x:v>
      </x:c>
      <x:c r="M2" s="62" t="n">
        <x:v>5</x:v>
      </x:c>
      <x:c r="N2" s="160" t="n">
        <x:f>ROUND(AVERAGE(K2:M2),1)</x:f>
        <x:v>5</x:v>
      </x:c>
      <x:c r="O2" s="62" t="str">
        <x:f>IF(N2&gt;=4.75,"Critical",IF(N2&gt;=4,"High",IF(N2&gt;=3,"Medium","Low")))</x:f>
        <x:v>Critical</x:v>
      </x:c>
      <x:c r="P2" s="62" t="str">
        <x:v>Yes</x:v>
      </x:c>
      <x:c r="Q2" s="62" t="str">
        <x:v>Entra ID + MFA for admins; partial MFA for users</x:v>
      </x:c>
      <x:c r="R2" s="62" t="str">
        <x:v>Vendor resilience + file retention</x:v>
      </x:c>
      <x:c r="S2" s="62" t="str">
        <x:v>M365 audit logs; limited centralized review</x:v>
      </x:c>
      <x:c r="T2" s="62" t="str">
        <x:v>Production</x:v>
      </x:c>
      <x:c r="U2" s="62" t="str">
        <x:v>Internet connectivity; Entra ID; DNS</x:v>
      </x:c>
      <x:c r="V2" s="62" t="str">
        <x:v>Needs Improvement</x:v>
      </x:c>
      <x:c r="W2" s="62" t="str">
        <x:v>User MFA coverage is incomplete; privileged roles require periodic review.</x:v>
      </x:c>
      <x:c r="X2" s="62" t="n">
        <x:v>4</x:v>
      </x:c>
      <x:c r="Y2" s="62" t="n">
        <x:v>4</x:v>
      </x:c>
    </x:row>
    <x:row r="3">
      <x:c r="A3" s="62" t="str">
        <x:v>AST-002</x:v>
      </x:c>
      <x:c r="B3" s="62" t="str">
        <x:v>Microsoft Entra ID</x:v>
      </x:c>
      <x:c r="C3" s="62" t="str">
        <x:v>Identity</x:v>
      </x:c>
      <x:c r="D3" s="62" t="str">
        <x:v>Authentication and access control</x:v>
      </x:c>
      <x:c r="E3" s="62" t="str">
        <x:v>IT Manager</x:v>
      </x:c>
      <x:c r="F3" s="62" t="str">
        <x:v>Systems Administrator</x:v>
      </x:c>
      <x:c r="G3" s="62" t="str">
        <x:v>Cloud</x:v>
      </x:c>
      <x:c r="H3" s="62" t="str">
        <x:v>Microsoft</x:v>
      </x:c>
      <x:c r="I3" s="62" t="str">
        <x:v>Identity records, groups, privileged roles, sign-in data</x:v>
      </x:c>
      <x:c r="J3" s="62" t="str">
        <x:v>Restricted</x:v>
      </x:c>
      <x:c r="K3" s="62" t="n">
        <x:v>5</x:v>
      </x:c>
      <x:c r="L3" s="62" t="n">
        <x:v>5</x:v>
      </x:c>
      <x:c r="M3" s="62" t="n">
        <x:v>5</x:v>
      </x:c>
      <x:c r="N3" s="160" t="n">
        <x:f>ROUND(AVERAGE(K3:M3),1)</x:f>
        <x:v>5</x:v>
      </x:c>
      <x:c r="O3" s="62" t="str">
        <x:f>IF(N3&gt;=4.75,"Critical",IF(N3&gt;=4,"High",IF(N3&gt;=3,"Medium","Low")))</x:f>
        <x:v>Critical</x:v>
      </x:c>
      <x:c r="P3" s="62" t="str">
        <x:v>Yes</x:v>
      </x:c>
      <x:c r="Q3" s="62" t="str">
        <x:v>MFA; conditional access partially configured</x:v>
      </x:c>
      <x:c r="R3" s="62" t="str">
        <x:v>Vendor resilience</x:v>
      </x:c>
      <x:c r="S3" s="62" t="str">
        <x:v>Sign-in and audit logs</x:v>
      </x:c>
      <x:c r="T3" s="62" t="str">
        <x:v>Production</x:v>
      </x:c>
      <x:c r="U3" s="62" t="str">
        <x:v>Microsoft 365; internet connectivity</x:v>
      </x:c>
      <x:c r="V3" s="62" t="str">
        <x:v>Needs Improvement</x:v>
      </x:c>
      <x:c r="W3" s="62" t="str">
        <x:v>Legacy authentication and stale privileged assignments require review.</x:v>
      </x:c>
      <x:c r="X3" s="62" t="n">
        <x:v>2</x:v>
      </x:c>
      <x:c r="Y3" s="62" t="n">
        <x:v>1</x:v>
      </x:c>
    </x:row>
    <x:row r="4">
      <x:c r="A4" s="62" t="str">
        <x:v>AST-003</x:v>
      </x:c>
      <x:c r="B4" s="62" t="str">
        <x:v>Executive Mailboxes</x:v>
      </x:c>
      <x:c r="C4" s="62" t="str">
        <x:v>Information / Email</x:v>
      </x:c>
      <x:c r="D4" s="62" t="str">
        <x:v>Executive communication and approvals</x:v>
      </x:c>
      <x:c r="E4" s="62" t="str">
        <x:v>CEO</x:v>
      </x:c>
      <x:c r="F4" s="62" t="str">
        <x:v>IT Manager</x:v>
      </x:c>
      <x:c r="G4" s="62" t="str">
        <x:v>Cloud</x:v>
      </x:c>
      <x:c r="H4" s="62" t="str">
        <x:v>Microsoft 365</x:v>
      </x:c>
      <x:c r="I4" s="62" t="str">
        <x:v>Sensitive business communications, contracts, strategy</x:v>
      </x:c>
      <x:c r="J4" s="62" t="str">
        <x:v>Highly Confidential</x:v>
      </x:c>
      <x:c r="K4" s="62" t="n">
        <x:v>5</x:v>
      </x:c>
      <x:c r="L4" s="62" t="n">
        <x:v>5</x:v>
      </x:c>
      <x:c r="M4" s="62" t="n">
        <x:v>4</x:v>
      </x:c>
      <x:c r="N4" s="160" t="n">
        <x:f>ROUND(AVERAGE(K4:M4),1)</x:f>
        <x:v>4.7</x:v>
      </x:c>
      <x:c r="O4" s="62" t="str">
        <x:f>IF(N4&gt;=4.75,"Critical",IF(N4&gt;=4,"High",IF(N4&gt;=3,"Medium","Low")))</x:f>
        <x:v>High</x:v>
      </x:c>
      <x:c r="P4" s="62" t="str">
        <x:v>Yes</x:v>
      </x:c>
      <x:c r="Q4" s="62" t="str">
        <x:v>Password + MFA</x:v>
      </x:c>
      <x:c r="R4" s="62" t="str">
        <x:v>M365 retention</x:v>
      </x:c>
      <x:c r="S4" s="62" t="str">
        <x:v>Audit/sign-in logs</x:v>
      </x:c>
      <x:c r="T4" s="62" t="str">
        <x:v>Production</x:v>
      </x:c>
      <x:c r="U4" s="62" t="str">
        <x:v>M365 tenant; Entra ID</x:v>
      </x:c>
      <x:c r="V4" s="62" t="str">
        <x:v>Adequate</x:v>
      </x:c>
      <x:c r="W4" s="62" t="str">
        <x:v>High-value phishing/BEC target; additional anti-phishing controls needed.</x:v>
      </x:c>
      <x:c r="X4" s="62" t="n">
        <x:v>4</x:v>
      </x:c>
      <x:c r="Y4" s="62" t="n">
        <x:v>4</x:v>
      </x:c>
    </x:row>
    <x:row r="5">
      <x:c r="A5" s="62" t="str">
        <x:v>AST-004</x:v>
      </x:c>
      <x:c r="B5" s="62" t="str">
        <x:v>Finance Mailboxes</x:v>
      </x:c>
      <x:c r="C5" s="62" t="str">
        <x:v>Information / Email</x:v>
      </x:c>
      <x:c r="D5" s="62" t="str">
        <x:v>Invoices, banking coordination, vendor payments</x:v>
      </x:c>
      <x:c r="E5" s="62" t="str">
        <x:v>Finance Manager</x:v>
      </x:c>
      <x:c r="F5" s="62" t="str">
        <x:v>IT Manager</x:v>
      </x:c>
      <x:c r="G5" s="62" t="str">
        <x:v>Cloud</x:v>
      </x:c>
      <x:c r="H5" s="62" t="str">
        <x:v>Microsoft 365</x:v>
      </x:c>
      <x:c r="I5" s="62" t="str">
        <x:v>Invoices, payment instructions, financial correspondence</x:v>
      </x:c>
      <x:c r="J5" s="62" t="str">
        <x:v>Highly Confidential</x:v>
      </x:c>
      <x:c r="K5" s="62" t="n">
        <x:v>5</x:v>
      </x:c>
      <x:c r="L5" s="62" t="n">
        <x:v>5</x:v>
      </x:c>
      <x:c r="M5" s="62" t="n">
        <x:v>4</x:v>
      </x:c>
      <x:c r="N5" s="160" t="n">
        <x:f>ROUND(AVERAGE(K5:M5),1)</x:f>
        <x:v>4.7</x:v>
      </x:c>
      <x:c r="O5" s="62" t="str">
        <x:f>IF(N5&gt;=4.75,"Critical",IF(N5&gt;=4,"High",IF(N5&gt;=3,"Medium","Low")))</x:f>
        <x:v>High</x:v>
      </x:c>
      <x:c r="P5" s="62" t="str">
        <x:v>Yes</x:v>
      </x:c>
      <x:c r="Q5" s="62" t="str">
        <x:v>Password + MFA</x:v>
      </x:c>
      <x:c r="R5" s="62" t="str">
        <x:v>M365 retention</x:v>
      </x:c>
      <x:c r="S5" s="62" t="str">
        <x:v>Audit/sign-in logs</x:v>
      </x:c>
      <x:c r="T5" s="62" t="str">
        <x:v>Production</x:v>
      </x:c>
      <x:c r="U5" s="62" t="str">
        <x:v>M365 tenant; Entra ID</x:v>
      </x:c>
      <x:c r="V5" s="62" t="str">
        <x:v>Adequate</x:v>
      </x:c>
      <x:c r="W5" s="62" t="str">
        <x:v>High BEC exposure; payment-change verification process is informal.</x:v>
      </x:c>
      <x:c r="X5" s="62" t="n">
        <x:v>4</x:v>
      </x:c>
      <x:c r="Y5" s="62" t="n">
        <x:v>4</x:v>
      </x:c>
    </x:row>
    <x:row r="6">
      <x:c r="A6" s="62" t="str">
        <x:v>AST-005</x:v>
      </x:c>
      <x:c r="B6" s="62" t="str">
        <x:v>Cloud Accounting System</x:v>
      </x:c>
      <x:c r="C6" s="62" t="str">
        <x:v>Cloud / SaaS</x:v>
      </x:c>
      <x:c r="D6" s="62" t="str">
        <x:v>Accounting, invoicing, financial reporting</x:v>
      </x:c>
      <x:c r="E6" s="62" t="str">
        <x:v>Finance Manager</x:v>
      </x:c>
      <x:c r="F6" s="62" t="str">
        <x:v>Application Administrator</x:v>
      </x:c>
      <x:c r="G6" s="62" t="str">
        <x:v>Cloud</x:v>
      </x:c>
      <x:c r="H6" s="62" t="str">
        <x:v>Fictional SaaS vendor</x:v>
      </x:c>
      <x:c r="I6" s="62" t="str">
        <x:v>General ledger, invoices, customer/vendor financial data</x:v>
      </x:c>
      <x:c r="J6" s="62" t="str">
        <x:v>Restricted</x:v>
      </x:c>
      <x:c r="K6" s="62" t="n">
        <x:v>5</x:v>
      </x:c>
      <x:c r="L6" s="62" t="n">
        <x:v>5</x:v>
      </x:c>
      <x:c r="M6" s="62" t="n">
        <x:v>5</x:v>
      </x:c>
      <x:c r="N6" s="160" t="n">
        <x:f>ROUND(AVERAGE(K6:M6),1)</x:f>
        <x:v>5</x:v>
      </x:c>
      <x:c r="O6" s="62" t="str">
        <x:f>IF(N6&gt;=4.75,"Critical",IF(N6&gt;=4,"High",IF(N6&gt;=3,"Medium","Low")))</x:f>
        <x:v>Critical</x:v>
      </x:c>
      <x:c r="P6" s="62" t="str">
        <x:v>Yes</x:v>
      </x:c>
      <x:c r="Q6" s="62" t="str">
        <x:v>MFA for admins; user passwords</x:v>
      </x:c>
      <x:c r="R6" s="62" t="str">
        <x:v>Vendor backup / export</x:v>
      </x:c>
      <x:c r="S6" s="62" t="str">
        <x:v>Vendor logs; limited customer visibility</x:v>
      </x:c>
      <x:c r="T6" s="62" t="str">
        <x:v>Production</x:v>
      </x:c>
      <x:c r="U6" s="62" t="str">
        <x:v>Internet; Entra/email; banking interfaces</x:v>
      </x:c>
      <x:c r="V6" s="62" t="str">
        <x:v>Adequate</x:v>
      </x:c>
      <x:c r="W6" s="62" t="str">
        <x:v>Vendor logging and recovery evidence not formally reviewed.</x:v>
      </x:c>
      <x:c r="X6" s="62" t="n">
        <x:v>4</x:v>
      </x:c>
      <x:c r="Y6" s="62" t="n">
        <x:v>4</x:v>
      </x:c>
    </x:row>
    <x:row r="7">
      <x:c r="A7" s="62" t="str">
        <x:v>AST-006</x:v>
      </x:c>
      <x:c r="B7" s="62" t="str">
        <x:v>CRM Platform</x:v>
      </x:c>
      <x:c r="C7" s="62" t="str">
        <x:v>Cloud / SaaS</x:v>
      </x:c>
      <x:c r="D7" s="62" t="str">
        <x:v>Sales pipeline and customer relationship management</x:v>
      </x:c>
      <x:c r="E7" s="62" t="str">
        <x:v>Sales Director</x:v>
      </x:c>
      <x:c r="F7" s="62" t="str">
        <x:v>Application Administrator</x:v>
      </x:c>
      <x:c r="G7" s="62" t="str">
        <x:v>Cloud</x:v>
      </x:c>
      <x:c r="H7" s="62" t="str">
        <x:v>Fictional SaaS vendor</x:v>
      </x:c>
      <x:c r="I7" s="62" t="str">
        <x:v>Customer contacts, sales activity, contracts, notes</x:v>
      </x:c>
      <x:c r="J7" s="62" t="str">
        <x:v>Confidential</x:v>
      </x:c>
      <x:c r="K7" s="62" t="n">
        <x:v>4</x:v>
      </x:c>
      <x:c r="L7" s="62" t="n">
        <x:v>5</x:v>
      </x:c>
      <x:c r="M7" s="62" t="n">
        <x:v>4</x:v>
      </x:c>
      <x:c r="N7" s="160" t="n">
        <x:f>ROUND(AVERAGE(K7:M7),1)</x:f>
        <x:v>4.3</x:v>
      </x:c>
      <x:c r="O7" s="62" t="str">
        <x:f>IF(N7&gt;=4.75,"Critical",IF(N7&gt;=4,"High",IF(N7&gt;=3,"Medium","Low")))</x:f>
        <x:v>High</x:v>
      </x:c>
      <x:c r="P7" s="62" t="str">
        <x:v>Yes</x:v>
      </x:c>
      <x:c r="Q7" s="62" t="str">
        <x:v>SSO for some users; local accounts remain</x:v>
      </x:c>
      <x:c r="R7" s="62" t="str">
        <x:v>Vendor backup</x:v>
      </x:c>
      <x:c r="S7" s="62" t="str">
        <x:v>Basic admin/audit logs</x:v>
      </x:c>
      <x:c r="T7" s="62" t="str">
        <x:v>Production</x:v>
      </x:c>
      <x:c r="U7" s="62" t="str">
        <x:v>Internet; email; customer data</x:v>
      </x:c>
      <x:c r="V7" s="62" t="str">
        <x:v>Needs Improvement</x:v>
      </x:c>
      <x:c r="W7" s="62" t="str">
        <x:v>Local accounts and broad export permissions create data-leakage risk.</x:v>
      </x:c>
      <x:c r="X7" s="62" t="n">
        <x:v>8</x:v>
      </x:c>
      <x:c r="Y7" s="62" t="n">
        <x:v>8</x:v>
      </x:c>
    </x:row>
    <x:row r="8">
      <x:c r="A8" s="62" t="str">
        <x:v>AST-007</x:v>
      </x:c>
      <x:c r="B8" s="62" t="str">
        <x:v>HR Information System</x:v>
      </x:c>
      <x:c r="C8" s="62" t="str">
        <x:v>Cloud / SaaS</x:v>
      </x:c>
      <x:c r="D8" s="62" t="str">
        <x:v>Employee records and HR administration</x:v>
      </x:c>
      <x:c r="E8" s="62" t="str">
        <x:v>HR Manager</x:v>
      </x:c>
      <x:c r="F8" s="62" t="str">
        <x:v>Application Administrator</x:v>
      </x:c>
      <x:c r="G8" s="62" t="str">
        <x:v>Cloud</x:v>
      </x:c>
      <x:c r="H8" s="62" t="str">
        <x:v>Fictional SaaS vendor</x:v>
      </x:c>
      <x:c r="I8" s="62" t="str">
        <x:v>Employee identity, payroll references, performance and leave data</x:v>
      </x:c>
      <x:c r="J8" s="62" t="str">
        <x:v>Restricted</x:v>
      </x:c>
      <x:c r="K8" s="62" t="n">
        <x:v>5</x:v>
      </x:c>
      <x:c r="L8" s="62" t="n">
        <x:v>5</x:v>
      </x:c>
      <x:c r="M8" s="62" t="n">
        <x:v>4</x:v>
      </x:c>
      <x:c r="N8" s="160" t="n">
        <x:f>ROUND(AVERAGE(K8:M8),1)</x:f>
        <x:v>4.7</x:v>
      </x:c>
      <x:c r="O8" s="62" t="str">
        <x:f>IF(N8&gt;=4.75,"Critical",IF(N8&gt;=4,"High",IF(N8&gt;=3,"Medium","Low")))</x:f>
        <x:v>High</x:v>
      </x:c>
      <x:c r="P8" s="62" t="str">
        <x:v>Yes</x:v>
      </x:c>
      <x:c r="Q8" s="62" t="str">
        <x:v>MFA for HR admins</x:v>
      </x:c>
      <x:c r="R8" s="62" t="str">
        <x:v>Vendor backup / export</x:v>
      </x:c>
      <x:c r="S8" s="62" t="str">
        <x:v>Vendor audit logs</x:v>
      </x:c>
      <x:c r="T8" s="62" t="str">
        <x:v>Production</x:v>
      </x:c>
      <x:c r="U8" s="62" t="str">
        <x:v>Internet; email; finance/payroll interfaces</x:v>
      </x:c>
      <x:c r="V8" s="62" t="str">
        <x:v>Adequate</x:v>
      </x:c>
      <x:c r="W8" s="62" t="str">
        <x:v>Sensitive data; user access reviews are not formally documented.</x:v>
      </x:c>
      <x:c r="X8" s="62" t="n">
        <x:v>8</x:v>
      </x:c>
      <x:c r="Y8" s="62" t="n">
        <x:v>8</x:v>
      </x:c>
    </x:row>
    <x:row r="9">
      <x:c r="A9" s="62" t="str">
        <x:v>AST-008</x:v>
      </x:c>
      <x:c r="B9" s="62" t="str">
        <x:v>SharePoint / OneDrive</x:v>
      </x:c>
      <x:c r="C9" s="62" t="str">
        <x:v>Cloud Storage</x:v>
      </x:c>
      <x:c r="D9" s="62" t="str">
        <x:v>Shared documents and collaboration</x:v>
      </x:c>
      <x:c r="E9" s="62" t="str">
        <x:v>COO</x:v>
      </x:c>
      <x:c r="F9" s="62" t="str">
        <x:v>IT Manager</x:v>
      </x:c>
      <x:c r="G9" s="62" t="str">
        <x:v>Cloud</x:v>
      </x:c>
      <x:c r="H9" s="62" t="str">
        <x:v>Microsoft</x:v>
      </x:c>
      <x:c r="I9" s="62" t="str">
        <x:v>Contracts, operations, customer documents, internal files</x:v>
      </x:c>
      <x:c r="J9" s="62" t="str">
        <x:v>Highly Confidential</x:v>
      </x:c>
      <x:c r="K9" s="62" t="n">
        <x:v>5</x:v>
      </x:c>
      <x:c r="L9" s="62" t="n">
        <x:v>5</x:v>
      </x:c>
      <x:c r="M9" s="62" t="n">
        <x:v>4</x:v>
      </x:c>
      <x:c r="N9" s="160" t="n">
        <x:f>ROUND(AVERAGE(K9:M9),1)</x:f>
        <x:v>4.7</x:v>
      </x:c>
      <x:c r="O9" s="62" t="str">
        <x:f>IF(N9&gt;=4.75,"Critical",IF(N9&gt;=4,"High",IF(N9&gt;=3,"Medium","Low")))</x:f>
        <x:v>High</x:v>
      </x:c>
      <x:c r="P9" s="62" t="str">
        <x:v>Yes</x:v>
      </x:c>
      <x:c r="Q9" s="62" t="str">
        <x:v>Entra ID; MFA coverage incomplete</x:v>
      </x:c>
      <x:c r="R9" s="62" t="str">
        <x:v>Versioning / retention</x:v>
      </x:c>
      <x:c r="S9" s="62" t="str">
        <x:v>M365 audit logs</x:v>
      </x:c>
      <x:c r="T9" s="62" t="str">
        <x:v>Production</x:v>
      </x:c>
      <x:c r="U9" s="62" t="str">
        <x:v>M365; Entra ID</x:v>
      </x:c>
      <x:c r="V9" s="62" t="str">
        <x:v>Needs Improvement</x:v>
      </x:c>
      <x:c r="W9" s="62" t="str">
        <x:v>Oversharing and anonymous/external sharing settings require review.</x:v>
      </x:c>
      <x:c r="X9" s="62" t="n">
        <x:v>8</x:v>
      </x:c>
      <x:c r="Y9" s="62" t="n">
        <x:v>4</x:v>
      </x:c>
    </x:row>
    <x:row r="10">
      <x:c r="A10" s="62" t="str">
        <x:v>AST-009</x:v>
      </x:c>
      <x:c r="B10" s="62" t="str">
        <x:v>Windows Employee Laptops</x:v>
      </x:c>
      <x:c r="C10" s="62" t="str">
        <x:v>Endpoint Fleet</x:v>
      </x:c>
      <x:c r="D10" s="62" t="str">
        <x:v>User productivity and access to business systems</x:v>
      </x:c>
      <x:c r="E10" s="62" t="str">
        <x:v>Department Heads</x:v>
      </x:c>
      <x:c r="F10" s="62" t="str">
        <x:v>IT Support Lead</x:v>
      </x:c>
      <x:c r="G10" s="62" t="str">
        <x:v>Kingston / Montego Bay / Remote</x:v>
      </x:c>
      <x:c r="H10" s="62" t="str">
        <x:v>Windows 11</x:v>
      </x:c>
      <x:c r="I10" s="62" t="str">
        <x:v>Cached business data, credentials, email, documents</x:v>
      </x:c>
      <x:c r="J10" s="62" t="str">
        <x:v>Confidential</x:v>
      </x:c>
      <x:c r="K10" s="62" t="n">
        <x:v>4</x:v>
      </x:c>
      <x:c r="L10" s="62" t="n">
        <x:v>4</x:v>
      </x:c>
      <x:c r="M10" s="62" t="n">
        <x:v>4</x:v>
      </x:c>
      <x:c r="N10" s="160" t="n">
        <x:f>ROUND(AVERAGE(K10:M10),1)</x:f>
        <x:v>4</x:v>
      </x:c>
      <x:c r="O10" s="62" t="str">
        <x:f>IF(N10&gt;=4.75,"Critical",IF(N10&gt;=4,"High",IF(N10&gt;=3,"Medium","Low")))</x:f>
        <x:v>High</x:v>
      </x:c>
      <x:c r="P10" s="62" t="str">
        <x:v>Indirect</x:v>
      </x:c>
      <x:c r="Q10" s="62" t="str">
        <x:v>Entra ID accounts; device PIN/password</x:v>
      </x:c>
      <x:c r="R10" s="62" t="str">
        <x:v>OneDrive sync; device replacement</x:v>
      </x:c>
      <x:c r="S10" s="62" t="str">
        <x:v>Endpoint security logs; no full SIEM</x:v>
      </x:c>
      <x:c r="T10" s="62" t="str">
        <x:v>Production</x:v>
      </x:c>
      <x:c r="U10" s="62" t="str">
        <x:v>Entra ID; M365; internet</x:v>
      </x:c>
      <x:c r="V10" s="62" t="str">
        <x:v>Needs Improvement</x:v>
      </x:c>
      <x:c r="W10" s="62" t="str">
        <x:v>Mixed patch cadence; local admin exceptions; encryption coverage requires validation.</x:v>
      </x:c>
      <x:c r="X10" s="62" t="n">
        <x:v>24</x:v>
      </x:c>
      <x:c r="Y10" s="62" t="n">
        <x:v>8</x:v>
      </x:c>
    </x:row>
    <x:row r="11">
      <x:c r="A11" s="62" t="str">
        <x:v>AST-010</x:v>
      </x:c>
      <x:c r="B11" s="62" t="str">
        <x:v>Executive Laptops</x:v>
      </x:c>
      <x:c r="C11" s="62" t="str">
        <x:v>Endpoint Fleet</x:v>
      </x:c>
      <x:c r="D11" s="62" t="str">
        <x:v>Executive business operations</x:v>
      </x:c>
      <x:c r="E11" s="62" t="str">
        <x:v>CEO</x:v>
      </x:c>
      <x:c r="F11" s="62" t="str">
        <x:v>IT Support Lead</x:v>
      </x:c>
      <x:c r="G11" s="62" t="str">
        <x:v>Mobile / Remote</x:v>
      </x:c>
      <x:c r="H11" s="62" t="str">
        <x:v>Windows 11</x:v>
      </x:c>
      <x:c r="I11" s="62" t="str">
        <x:v>Executive email, contracts, strategic documents</x:v>
      </x:c>
      <x:c r="J11" s="62" t="str">
        <x:v>Highly Confidential</x:v>
      </x:c>
      <x:c r="K11" s="62" t="n">
        <x:v>5</x:v>
      </x:c>
      <x:c r="L11" s="62" t="n">
        <x:v>4</x:v>
      </x:c>
      <x:c r="M11" s="62" t="n">
        <x:v>4</x:v>
      </x:c>
      <x:c r="N11" s="160" t="n">
        <x:f>ROUND(AVERAGE(K11:M11),1)</x:f>
        <x:v>4.3</x:v>
      </x:c>
      <x:c r="O11" s="62" t="str">
        <x:f>IF(N11&gt;=4.75,"Critical",IF(N11&gt;=4,"High",IF(N11&gt;=3,"Medium","Low")))</x:f>
        <x:v>High</x:v>
      </x:c>
      <x:c r="P11" s="62" t="str">
        <x:v>Indirect</x:v>
      </x:c>
      <x:c r="Q11" s="62" t="str">
        <x:v>Entra ID + MFA</x:v>
      </x:c>
      <x:c r="R11" s="62" t="str">
        <x:v>OneDrive sync</x:v>
      </x:c>
      <x:c r="S11" s="62" t="str">
        <x:v>Endpoint security logs</x:v>
      </x:c>
      <x:c r="T11" s="62" t="str">
        <x:v>Production</x:v>
      </x:c>
      <x:c r="U11" s="62" t="str">
        <x:v>Entra ID; M365</x:v>
      </x:c>
      <x:c r="V11" s="62" t="str">
        <x:v>Adequate</x:v>
      </x:c>
      <x:c r="W11" s="62" t="str">
        <x:v>High-value target; should have stricter device and phishing controls.</x:v>
      </x:c>
      <x:c r="X11" s="62" t="n">
        <x:v>12</x:v>
      </x:c>
      <x:c r="Y11" s="62" t="n">
        <x:v>4</x:v>
      </x:c>
    </x:row>
    <x:row r="12">
      <x:c r="A12" s="62" t="str">
        <x:v>AST-011</x:v>
      </x:c>
      <x:c r="B12" s="62" t="str">
        <x:v>Finance Workstations</x:v>
      </x:c>
      <x:c r="C12" s="62" t="str">
        <x:v>Endpoint Fleet</x:v>
      </x:c>
      <x:c r="D12" s="62" t="str">
        <x:v>Accounting and financial administration</x:v>
      </x:c>
      <x:c r="E12" s="62" t="str">
        <x:v>Finance Manager</x:v>
      </x:c>
      <x:c r="F12" s="62" t="str">
        <x:v>IT Support Lead</x:v>
      </x:c>
      <x:c r="G12" s="62" t="str">
        <x:v>Kingston HQ</x:v>
      </x:c>
      <x:c r="H12" s="62" t="str">
        <x:v>Windows 11</x:v>
      </x:c>
      <x:c r="I12" s="62" t="str">
        <x:v>Financial data, invoices, exports, banking-related files</x:v>
      </x:c>
      <x:c r="J12" s="62" t="str">
        <x:v>Restricted</x:v>
      </x:c>
      <x:c r="K12" s="62" t="n">
        <x:v>5</x:v>
      </x:c>
      <x:c r="L12" s="62" t="n">
        <x:v>5</x:v>
      </x:c>
      <x:c r="M12" s="62" t="n">
        <x:v>4</x:v>
      </x:c>
      <x:c r="N12" s="160" t="n">
        <x:f>ROUND(AVERAGE(K12:M12),1)</x:f>
        <x:v>4.7</x:v>
      </x:c>
      <x:c r="O12" s="62" t="str">
        <x:f>IF(N12&gt;=4.75,"Critical",IF(N12&gt;=4,"High",IF(N12&gt;=3,"Medium","Low")))</x:f>
        <x:v>High</x:v>
      </x:c>
      <x:c r="P12" s="62" t="str">
        <x:v>Indirect</x:v>
      </x:c>
      <x:c r="Q12" s="62" t="str">
        <x:v>Entra ID + MFA</x:v>
      </x:c>
      <x:c r="R12" s="62" t="str">
        <x:v>OneDrive + application backup</x:v>
      </x:c>
      <x:c r="S12" s="62" t="str">
        <x:v>Endpoint security logs</x:v>
      </x:c>
      <x:c r="T12" s="62" t="str">
        <x:v>Production</x:v>
      </x:c>
      <x:c r="U12" s="62" t="str">
        <x:v>Accounting SaaS; M365; network</x:v>
      </x:c>
      <x:c r="V12" s="62" t="str">
        <x:v>Adequate</x:v>
      </x:c>
      <x:c r="W12" s="62" t="str">
        <x:v>USB/removable-media and macro controls are not formally governed.</x:v>
      </x:c>
      <x:c r="X12" s="62" t="n">
        <x:v>8</x:v>
      </x:c>
      <x:c r="Y12" s="62" t="n">
        <x:v>4</x:v>
      </x:c>
    </x:row>
    <x:row r="13">
      <x:c r="A13" s="62" t="str">
        <x:v>AST-012</x:v>
      </x:c>
      <x:c r="B13" s="62" t="str">
        <x:v>IT Administrator Workstations</x:v>
      </x:c>
      <x:c r="C13" s="62" t="str">
        <x:v>Privileged Endpoint</x:v>
      </x:c>
      <x:c r="D13" s="62" t="str">
        <x:v>Administration of cloud, endpoints and network</x:v>
      </x:c>
      <x:c r="E13" s="62" t="str">
        <x:v>IT Manager</x:v>
      </x:c>
      <x:c r="F13" s="62" t="str">
        <x:v>IT Manager</x:v>
      </x:c>
      <x:c r="G13" s="62" t="str">
        <x:v>Kingston HQ</x:v>
      </x:c>
      <x:c r="H13" s="62" t="str">
        <x:v>Windows 11</x:v>
      </x:c>
      <x:c r="I13" s="62" t="str">
        <x:v>Administrative credentials, management tools, logs</x:v>
      </x:c>
      <x:c r="J13" s="62" t="str">
        <x:v>Restricted</x:v>
      </x:c>
      <x:c r="K13" s="62" t="n">
        <x:v>5</x:v>
      </x:c>
      <x:c r="L13" s="62" t="n">
        <x:v>5</x:v>
      </x:c>
      <x:c r="M13" s="62" t="n">
        <x:v>5</x:v>
      </x:c>
      <x:c r="N13" s="160" t="n">
        <x:f>ROUND(AVERAGE(K13:M13),1)</x:f>
        <x:v>5</x:v>
      </x:c>
      <x:c r="O13" s="62" t="str">
        <x:f>IF(N13&gt;=4.75,"Critical",IF(N13&gt;=4,"High",IF(N13&gt;=3,"Medium","Low")))</x:f>
        <x:v>Critical</x:v>
      </x:c>
      <x:c r="P13" s="62" t="str">
        <x:v>Indirect</x:v>
      </x:c>
      <x:c r="Q13" s="62" t="str">
        <x:v>Privileged accounts + MFA</x:v>
      </x:c>
      <x:c r="R13" s="62" t="str">
        <x:v>Device backup not primary requirement</x:v>
      </x:c>
      <x:c r="S13" s="62" t="str">
        <x:v>Endpoint and admin logs</x:v>
      </x:c>
      <x:c r="T13" s="62" t="str">
        <x:v>Production</x:v>
      </x:c>
      <x:c r="U13" s="62" t="str">
        <x:v>Entra ID; firewall; M365; RMM</x:v>
      </x:c>
      <x:c r="V13" s="62" t="str">
        <x:v>Needs Improvement</x:v>
      </x:c>
      <x:c r="W13" s="62" t="str">
        <x:v>Admin activities occur from general-purpose workstations; PAW model not implemented.</x:v>
      </x:c>
      <x:c r="X13" s="62" t="n">
        <x:v>4</x:v>
      </x:c>
      <x:c r="Y13" s="62" t="n">
        <x:v>2</x:v>
      </x:c>
    </x:row>
    <x:row r="14">
      <x:c r="A14" s="62" t="str">
        <x:v>AST-013</x:v>
      </x:c>
      <x:c r="B14" s="62" t="str">
        <x:v>Primary Internet Firewall — Kingston</x:v>
      </x:c>
      <x:c r="C14" s="62" t="str">
        <x:v>Network</x:v>
      </x:c>
      <x:c r="D14" s="62" t="str">
        <x:v>Internet perimeter security and VPN</x:v>
      </x:c>
      <x:c r="E14" s="62" t="str">
        <x:v>IT Manager</x:v>
      </x:c>
      <x:c r="F14" s="62" t="str">
        <x:v>Network Administrator</x:v>
      </x:c>
      <x:c r="G14" s="62" t="str">
        <x:v>Kingston HQ</x:v>
      </x:c>
      <x:c r="H14" s="62" t="str">
        <x:v>Commercial firewall</x:v>
      </x:c>
      <x:c r="I14" s="62" t="str">
        <x:v>Network configuration, VPN, security logs</x:v>
      </x:c>
      <x:c r="J14" s="62" t="str">
        <x:v>Restricted</x:v>
      </x:c>
      <x:c r="K14" s="62" t="n">
        <x:v>5</x:v>
      </x:c>
      <x:c r="L14" s="62" t="n">
        <x:v>5</x:v>
      </x:c>
      <x:c r="M14" s="62" t="n">
        <x:v>5</x:v>
      </x:c>
      <x:c r="N14" s="160" t="n">
        <x:f>ROUND(AVERAGE(K14:M14),1)</x:f>
        <x:v>5</x:v>
      </x:c>
      <x:c r="O14" s="62" t="str">
        <x:f>IF(N14&gt;=4.75,"Critical",IF(N14&gt;=4,"High",IF(N14&gt;=3,"Medium","Low")))</x:f>
        <x:v>Critical</x:v>
      </x:c>
      <x:c r="P14" s="62" t="str">
        <x:v>Yes</x:v>
      </x:c>
      <x:c r="Q14" s="62" t="str">
        <x:v>Admin MFA partially configured</x:v>
      </x:c>
      <x:c r="R14" s="62" t="str">
        <x:v>Config backup</x:v>
      </x:c>
      <x:c r="S14" s="62" t="str">
        <x:v>Firewall logs; not centrally correlated</x:v>
      </x:c>
      <x:c r="T14" s="62" t="str">
        <x:v>Production</x:v>
      </x:c>
      <x:c r="U14" s="62" t="str">
        <x:v>ISP; core switch; VPN</x:v>
      </x:c>
      <x:c r="V14" s="62" t="str">
        <x:v>Needs Improvement</x:v>
      </x:c>
      <x:c r="W14" s="62" t="str">
        <x:v>Firmware lifecycle and rule-review process need formalization.</x:v>
      </x:c>
      <x:c r="X14" s="62" t="n">
        <x:v>2</x:v>
      </x:c>
      <x:c r="Y14" s="62" t="n">
        <x:v>1</x:v>
      </x:c>
    </x:row>
    <x:row r="15">
      <x:c r="A15" s="62" t="str">
        <x:v>AST-014</x:v>
      </x:c>
      <x:c r="B15" s="62" t="str">
        <x:v>Branch Firewall — Montego Bay</x:v>
      </x:c>
      <x:c r="C15" s="62" t="str">
        <x:v>Network</x:v>
      </x:c>
      <x:c r="D15" s="62" t="str">
        <x:v>Branch perimeter security</x:v>
      </x:c>
      <x:c r="E15" s="62" t="str">
        <x:v>IT Manager</x:v>
      </x:c>
      <x:c r="F15" s="62" t="str">
        <x:v>Network Administrator</x:v>
      </x:c>
      <x:c r="G15" s="62" t="str">
        <x:v>Montego Bay</x:v>
      </x:c>
      <x:c r="H15" s="62" t="str">
        <x:v>Commercial firewall</x:v>
      </x:c>
      <x:c r="I15" s="62" t="str">
        <x:v>Network configuration, VPN, security logs</x:v>
      </x:c>
      <x:c r="J15" s="62" t="str">
        <x:v>Restricted</x:v>
      </x:c>
      <x:c r="K15" s="62" t="n">
        <x:v>5</x:v>
      </x:c>
      <x:c r="L15" s="62" t="n">
        <x:v>5</x:v>
      </x:c>
      <x:c r="M15" s="62" t="n">
        <x:v>4</x:v>
      </x:c>
      <x:c r="N15" s="160" t="n">
        <x:f>ROUND(AVERAGE(K15:M15),1)</x:f>
        <x:v>4.7</x:v>
      </x:c>
      <x:c r="O15" s="62" t="str">
        <x:f>IF(N15&gt;=4.75,"Critical",IF(N15&gt;=4,"High",IF(N15&gt;=3,"Medium","Low")))</x:f>
        <x:v>High</x:v>
      </x:c>
      <x:c r="P15" s="62" t="str">
        <x:v>Yes</x:v>
      </x:c>
      <x:c r="Q15" s="62" t="str">
        <x:v>Admin password + limited MFA support</x:v>
      </x:c>
      <x:c r="R15" s="62" t="str">
        <x:v>Config backup</x:v>
      </x:c>
      <x:c r="S15" s="62" t="str">
        <x:v>Firewall logs</x:v>
      </x:c>
      <x:c r="T15" s="62" t="str">
        <x:v>Production</x:v>
      </x:c>
      <x:c r="U15" s="62" t="str">
        <x:v>ISP; branch switch; site-to-site VPN</x:v>
      </x:c>
      <x:c r="V15" s="62" t="str">
        <x:v>Needs Improvement</x:v>
      </x:c>
      <x:c r="W15" s="62" t="str">
        <x:v>Older firmware and inconsistent configuration baseline.</x:v>
      </x:c>
      <x:c r="X15" s="62" t="n">
        <x:v>4</x:v>
      </x:c>
      <x:c r="Y15" s="62" t="n">
        <x:v>2</x:v>
      </x:c>
    </x:row>
    <x:row r="16">
      <x:c r="A16" s="62" t="str">
        <x:v>AST-015</x:v>
      </x:c>
      <x:c r="B16" s="62" t="str">
        <x:v>Core Network Switches</x:v>
      </x:c>
      <x:c r="C16" s="62" t="str">
        <x:v>Network</x:v>
      </x:c>
      <x:c r="D16" s="62" t="str">
        <x:v>Internal LAN connectivity</x:v>
      </x:c>
      <x:c r="E16" s="62" t="str">
        <x:v>IT Manager</x:v>
      </x:c>
      <x:c r="F16" s="62" t="str">
        <x:v>Network Administrator</x:v>
      </x:c>
      <x:c r="G16" s="62" t="str">
        <x:v>Kingston / Montego Bay</x:v>
      </x:c>
      <x:c r="H16" s="62" t="str">
        <x:v>Managed switches</x:v>
      </x:c>
      <x:c r="I16" s="62" t="str">
        <x:v>Network configuration</x:v>
      </x:c>
      <x:c r="J16" s="62" t="str">
        <x:v>Internal</x:v>
      </x:c>
      <x:c r="K16" s="62" t="n">
        <x:v>3</x:v>
      </x:c>
      <x:c r="L16" s="62" t="n">
        <x:v>5</x:v>
      </x:c>
      <x:c r="M16" s="62" t="n">
        <x:v>5</x:v>
      </x:c>
      <x:c r="N16" s="160" t="n">
        <x:f>ROUND(AVERAGE(K16:M16),1)</x:f>
        <x:v>4.3</x:v>
      </x:c>
      <x:c r="O16" s="62" t="str">
        <x:f>IF(N16&gt;=4.75,"Critical",IF(N16&gt;=4,"High",IF(N16&gt;=3,"Medium","Low")))</x:f>
        <x:v>High</x:v>
      </x:c>
      <x:c r="P16" s="62" t="str">
        <x:v>No</x:v>
      </x:c>
      <x:c r="Q16" s="62" t="str">
        <x:v>Admin credentials</x:v>
      </x:c>
      <x:c r="R16" s="62" t="str">
        <x:v>Config backup</x:v>
      </x:c>
      <x:c r="S16" s="62" t="str">
        <x:v>Basic syslog</x:v>
      </x:c>
      <x:c r="T16" s="62" t="str">
        <x:v>Production</x:v>
      </x:c>
      <x:c r="U16" s="62" t="str">
        <x:v>Firewalls; power; cabling</x:v>
      </x:c>
      <x:c r="V16" s="62" t="str">
        <x:v>Adequate</x:v>
      </x:c>
      <x:c r="W16" s="62" t="str">
        <x:v>Configuration backups exist but change-control documentation is limited.</x:v>
      </x:c>
      <x:c r="X16" s="62" t="n">
        <x:v>4</x:v>
      </x:c>
      <x:c r="Y16" s="62" t="n">
        <x:v>4</x:v>
      </x:c>
    </x:row>
    <x:row r="17">
      <x:c r="A17" s="62" t="str">
        <x:v>AST-016</x:v>
      </x:c>
      <x:c r="B17" s="62" t="str">
        <x:v>Corporate Wi-Fi</x:v>
      </x:c>
      <x:c r="C17" s="62" t="str">
        <x:v>Network</x:v>
      </x:c>
      <x:c r="D17" s="62" t="str">
        <x:v>Employee wireless connectivity</x:v>
      </x:c>
      <x:c r="E17" s="62" t="str">
        <x:v>IT Manager</x:v>
      </x:c>
      <x:c r="F17" s="62" t="str">
        <x:v>Network Administrator</x:v>
      </x:c>
      <x:c r="G17" s="62" t="str">
        <x:v>Kingston / Montego Bay</x:v>
      </x:c>
      <x:c r="H17" s="62" t="str">
        <x:v>Enterprise Wi-Fi</x:v>
      </x:c>
      <x:c r="I17" s="62" t="str">
        <x:v>Network credentials, device traffic</x:v>
      </x:c>
      <x:c r="J17" s="62" t="str">
        <x:v>Internal</x:v>
      </x:c>
      <x:c r="K17" s="62" t="n">
        <x:v>3</x:v>
      </x:c>
      <x:c r="L17" s="62" t="n">
        <x:v>4</x:v>
      </x:c>
      <x:c r="M17" s="62" t="n">
        <x:v>4</x:v>
      </x:c>
      <x:c r="N17" s="160" t="n">
        <x:f>ROUND(AVERAGE(K17:M17),1)</x:f>
        <x:v>3.7</x:v>
      </x:c>
      <x:c r="O17" s="62" t="str">
        <x:f>IF(N17&gt;=4.75,"Critical",IF(N17&gt;=4,"High",IF(N17&gt;=3,"Medium","Low")))</x:f>
        <x:v>Medium</x:v>
      </x:c>
      <x:c r="P17" s="62" t="str">
        <x:v>Indirect</x:v>
      </x:c>
      <x:c r="Q17" s="62" t="str">
        <x:v>WPA2/WPA3 enterprise mix</x:v>
      </x:c>
      <x:c r="R17" s="62" t="str">
        <x:v>Controller config backup</x:v>
      </x:c>
      <x:c r="S17" s="62" t="str">
        <x:v>Controller logs</x:v>
      </x:c>
      <x:c r="T17" s="62" t="str">
        <x:v>Production</x:v>
      </x:c>
      <x:c r="U17" s="62" t="str">
        <x:v>Identity service; switches; firewalls</x:v>
      </x:c>
      <x:c r="V17" s="62" t="str">
        <x:v>Needs Improvement</x:v>
      </x:c>
      <x:c r="W17" s="62" t="str">
        <x:v>Legacy shared PSK remains for some devices; guest separation should be validated.</x:v>
      </x:c>
      <x:c r="X17" s="62" t="n">
        <x:v>8</x:v>
      </x:c>
      <x:c r="Y17" s="62" t="n">
        <x:v>8</x:v>
      </x:c>
    </x:row>
    <x:row r="18">
      <x:c r="A18" s="62" t="str">
        <x:v>AST-017</x:v>
      </x:c>
      <x:c r="B18" s="62" t="str">
        <x:v>Remote Access VPN</x:v>
      </x:c>
      <x:c r="C18" s="62" t="str">
        <x:v>Remote Access</x:v>
      </x:c>
      <x:c r="D18" s="62" t="str">
        <x:v>Remote staff access to internal resources</x:v>
      </x:c>
      <x:c r="E18" s="62" t="str">
        <x:v>IT Manager</x:v>
      </x:c>
      <x:c r="F18" s="62" t="str">
        <x:v>Network Administrator</x:v>
      </x:c>
      <x:c r="G18" s="62" t="str">
        <x:v>Cloud/Firewall</x:v>
      </x:c>
      <x:c r="H18" s="62" t="str">
        <x:v>Firewall VPN</x:v>
      </x:c>
      <x:c r="I18" s="62" t="str">
        <x:v>User authentication and remote session data</x:v>
      </x:c>
      <x:c r="J18" s="62" t="str">
        <x:v>Restricted</x:v>
      </x:c>
      <x:c r="K18" s="62" t="n">
        <x:v>5</x:v>
      </x:c>
      <x:c r="L18" s="62" t="n">
        <x:v>5</x:v>
      </x:c>
      <x:c r="M18" s="62" t="n">
        <x:v>5</x:v>
      </x:c>
      <x:c r="N18" s="160" t="n">
        <x:f>ROUND(AVERAGE(K18:M18),1)</x:f>
        <x:v>5</x:v>
      </x:c>
      <x:c r="O18" s="62" t="str">
        <x:f>IF(N18&gt;=4.75,"Critical",IF(N18&gt;=4,"High",IF(N18&gt;=3,"Medium","Low")))</x:f>
        <x:v>Critical</x:v>
      </x:c>
      <x:c r="P18" s="62" t="str">
        <x:v>Yes</x:v>
      </x:c>
      <x:c r="Q18" s="62" t="str">
        <x:v>MFA for most users</x:v>
      </x:c>
      <x:c r="R18" s="62" t="str">
        <x:v>Firewall config backup</x:v>
      </x:c>
      <x:c r="S18" s="62" t="str">
        <x:v>VPN logs</x:v>
      </x:c>
      <x:c r="T18" s="62" t="str">
        <x:v>Production</x:v>
      </x:c>
      <x:c r="U18" s="62" t="str">
        <x:v>Firewall; Entra/RADIUS; ISP</x:v>
      </x:c>
      <x:c r="V18" s="62" t="str">
        <x:v>Needs Improvement</x:v>
      </x:c>
      <x:c r="W18" s="62" t="str">
        <x:v>Some legacy accounts are exempt from MFA; inactive accounts need review.</x:v>
      </x:c>
      <x:c r="X18" s="62" t="n">
        <x:v>4</x:v>
      </x:c>
      <x:c r="Y18" s="62" t="n">
        <x:v>2</x:v>
      </x:c>
    </x:row>
    <x:row r="19">
      <x:c r="A19" s="62" t="str">
        <x:v>AST-018</x:v>
      </x:c>
      <x:c r="B19" s="62" t="str">
        <x:v>Active Directory — Legacy File/Print Domain</x:v>
      </x:c>
      <x:c r="C19" s="62" t="str">
        <x:v>Identity / Legacy</x:v>
      </x:c>
      <x:c r="D19" s="62" t="str">
        <x:v>Legacy file/print and local authentication</x:v>
      </x:c>
      <x:c r="E19" s="62" t="str">
        <x:v>IT Manager</x:v>
      </x:c>
      <x:c r="F19" s="62" t="str">
        <x:v>Systems Administrator</x:v>
      </x:c>
      <x:c r="G19" s="62" t="str">
        <x:v>Kingston HQ</x:v>
      </x:c>
      <x:c r="H19" s="62" t="str">
        <x:v>Windows Server</x:v>
      </x:c>
      <x:c r="I19" s="62" t="str">
        <x:v>User/group information, policy, legacy file access</x:v>
      </x:c>
      <x:c r="J19" s="62" t="str">
        <x:v>Restricted</x:v>
      </x:c>
      <x:c r="K19" s="62" t="n">
        <x:v>5</x:v>
      </x:c>
      <x:c r="L19" s="62" t="n">
        <x:v>5</x:v>
      </x:c>
      <x:c r="M19" s="62" t="n">
        <x:v>4</x:v>
      </x:c>
      <x:c r="N19" s="160" t="n">
        <x:f>ROUND(AVERAGE(K19:M19),1)</x:f>
        <x:v>4.7</x:v>
      </x:c>
      <x:c r="O19" s="62" t="str">
        <x:f>IF(N19&gt;=4.75,"Critical",IF(N19&gt;=4,"High",IF(N19&gt;=3,"Medium","Low")))</x:f>
        <x:v>High</x:v>
      </x:c>
      <x:c r="P19" s="62" t="str">
        <x:v>No</x:v>
      </x:c>
      <x:c r="Q19" s="62" t="str">
        <x:v>Domain credentials</x:v>
      </x:c>
      <x:c r="R19" s="62" t="str">
        <x:v>VM/server backup</x:v>
      </x:c>
      <x:c r="S19" s="62" t="str">
        <x:v>Windows event logs</x:v>
      </x:c>
      <x:c r="T19" s="62" t="str">
        <x:v>Legacy</x:v>
      </x:c>
      <x:c r="U19" s="62" t="str">
        <x:v>Server host; network; admin accounts</x:v>
      </x:c>
      <x:c r="V19" s="62" t="str">
        <x:v>Weak</x:v>
      </x:c>
      <x:c r="W19" s="62" t="str">
        <x:v>Legacy domain remains operational with technical debt and limited monitoring.</x:v>
      </x:c>
      <x:c r="X19" s="62" t="n">
        <x:v>8</x:v>
      </x:c>
      <x:c r="Y19" s="62" t="n">
        <x:v>4</x:v>
      </x:c>
    </x:row>
    <x:row r="20">
      <x:c r="A20" s="62" t="str">
        <x:v>AST-019</x:v>
      </x:c>
      <x:c r="B20" s="62" t="str">
        <x:v>Legacy File Server</x:v>
      </x:c>
      <x:c r="C20" s="62" t="str">
        <x:v>Server / Storage</x:v>
      </x:c>
      <x:c r="D20" s="62" t="str">
        <x:v>Legacy shared drive for operations</x:v>
      </x:c>
      <x:c r="E20" s="62" t="str">
        <x:v>Operations Manager</x:v>
      </x:c>
      <x:c r="F20" s="62" t="str">
        <x:v>Systems Administrator</x:v>
      </x:c>
      <x:c r="G20" s="62" t="str">
        <x:v>Kingston HQ</x:v>
      </x:c>
      <x:c r="H20" s="62" t="str">
        <x:v>Windows Server</x:v>
      </x:c>
      <x:c r="I20" s="62" t="str">
        <x:v>Customer documents, operational spreadsheets, historical files</x:v>
      </x:c>
      <x:c r="J20" s="62" t="str">
        <x:v>Highly Confidential</x:v>
      </x:c>
      <x:c r="K20" s="62" t="n">
        <x:v>5</x:v>
      </x:c>
      <x:c r="L20" s="62" t="n">
        <x:v>5</x:v>
      </x:c>
      <x:c r="M20" s="62" t="n">
        <x:v>4</x:v>
      </x:c>
      <x:c r="N20" s="160" t="n">
        <x:f>ROUND(AVERAGE(K20:M20),1)</x:f>
        <x:v>4.7</x:v>
      </x:c>
      <x:c r="O20" s="62" t="str">
        <x:f>IF(N20&gt;=4.75,"Critical",IF(N20&gt;=4,"High",IF(N20&gt;=3,"Medium","Low")))</x:f>
        <x:v>High</x:v>
      </x:c>
      <x:c r="P20" s="62" t="str">
        <x:v>No</x:v>
      </x:c>
      <x:c r="Q20" s="62" t="str">
        <x:v>Active Directory permissions</x:v>
      </x:c>
      <x:c r="R20" s="62" t="str">
        <x:v>Nightly backup</x:v>
      </x:c>
      <x:c r="S20" s="62" t="str">
        <x:v>Windows logs; limited monitoring</x:v>
      </x:c>
      <x:c r="T20" s="62" t="str">
        <x:v>Legacy</x:v>
      </x:c>
      <x:c r="U20" s="62" t="str">
        <x:v>AD; server host; backup system</x:v>
      </x:c>
      <x:c r="V20" s="62" t="str">
        <x:v>Weak</x:v>
      </x:c>
      <x:c r="W20" s="62" t="str">
        <x:v>Broad inherited permissions and old files create ransomware/data-exposure risk.</x:v>
      </x:c>
      <x:c r="X20" s="62" t="n">
        <x:v>8</x:v>
      </x:c>
      <x:c r="Y20" s="62" t="n">
        <x:v>4</x:v>
      </x:c>
    </x:row>
    <x:row r="21">
      <x:c r="A21" s="62" t="str">
        <x:v>AST-020</x:v>
      </x:c>
      <x:c r="B21" s="62" t="str">
        <x:v>Virtualization Host</x:v>
      </x:c>
      <x:c r="C21" s="62" t="str">
        <x:v>Server Infrastructure</x:v>
      </x:c>
      <x:c r="D21" s="62" t="str">
        <x:v>Hosts legacy domain/file services and internal tools</x:v>
      </x:c>
      <x:c r="E21" s="62" t="str">
        <x:v>IT Manager</x:v>
      </x:c>
      <x:c r="F21" s="62" t="str">
        <x:v>Systems Administrator</x:v>
      </x:c>
      <x:c r="G21" s="62" t="str">
        <x:v>Kingston HQ</x:v>
      </x:c>
      <x:c r="H21" s="62" t="str">
        <x:v>Hypervisor</x:v>
      </x:c>
      <x:c r="I21" s="62" t="str">
        <x:v>Virtual machines and infrastructure configuration</x:v>
      </x:c>
      <x:c r="J21" s="62" t="str">
        <x:v>Restricted</x:v>
      </x:c>
      <x:c r="K21" s="62" t="n">
        <x:v>5</x:v>
      </x:c>
      <x:c r="L21" s="62" t="n">
        <x:v>5</x:v>
      </x:c>
      <x:c r="M21" s="62" t="n">
        <x:v>5</x:v>
      </x:c>
      <x:c r="N21" s="160" t="n">
        <x:f>ROUND(AVERAGE(K21:M21),1)</x:f>
        <x:v>5</x:v>
      </x:c>
      <x:c r="O21" s="62" t="str">
        <x:f>IF(N21&gt;=4.75,"Critical",IF(N21&gt;=4,"High",IF(N21&gt;=3,"Medium","Low")))</x:f>
        <x:v>Critical</x:v>
      </x:c>
      <x:c r="P21" s="62" t="str">
        <x:v>No</x:v>
      </x:c>
      <x:c r="Q21" s="62" t="str">
        <x:v>Admin credentials</x:v>
      </x:c>
      <x:c r="R21" s="62" t="str">
        <x:v>Image/config backup</x:v>
      </x:c>
      <x:c r="S21" s="62" t="str">
        <x:v>Hypervisor logs</x:v>
      </x:c>
      <x:c r="T21" s="62" t="str">
        <x:v>Production</x:v>
      </x:c>
      <x:c r="U21" s="62" t="str">
        <x:v>Power; network; backup storage</x:v>
      </x:c>
      <x:c r="V21" s="62" t="str">
        <x:v>Adequate</x:v>
      </x:c>
      <x:c r="W21" s="62" t="str">
        <x:v>Single-host concentration creates resilience risk.</x:v>
      </x:c>
      <x:c r="X21" s="62" t="n">
        <x:v>8</x:v>
      </x:c>
      <x:c r="Y21" s="62" t="n">
        <x:v>4</x:v>
      </x:c>
    </x:row>
    <x:row r="22">
      <x:c r="A22" s="62" t="str">
        <x:v>AST-021</x:v>
      </x:c>
      <x:c r="B22" s="62" t="str">
        <x:v>Backup Repository</x:v>
      </x:c>
      <x:c r="C22" s="62" t="str">
        <x:v>Backup / Recovery</x:v>
      </x:c>
      <x:c r="D22" s="62" t="str">
        <x:v>Recovery of legacy servers and selected critical files</x:v>
      </x:c>
      <x:c r="E22" s="62" t="str">
        <x:v>IT Manager</x:v>
      </x:c>
      <x:c r="F22" s="62" t="str">
        <x:v>Systems Administrator</x:v>
      </x:c>
      <x:c r="G22" s="62" t="str">
        <x:v>Kingston HQ + cloud copy</x:v>
      </x:c>
      <x:c r="H22" s="62" t="str">
        <x:v>Backup platform</x:v>
      </x:c>
      <x:c r="I22" s="62" t="str">
        <x:v>System backups, configs, selected files</x:v>
      </x:c>
      <x:c r="J22" s="62" t="str">
        <x:v>Restricted</x:v>
      </x:c>
      <x:c r="K22" s="62" t="n">
        <x:v>5</x:v>
      </x:c>
      <x:c r="L22" s="62" t="n">
        <x:v>5</x:v>
      </x:c>
      <x:c r="M22" s="62" t="n">
        <x:v>5</x:v>
      </x:c>
      <x:c r="N22" s="160" t="n">
        <x:f>ROUND(AVERAGE(K22:M22),1)</x:f>
        <x:v>5</x:v>
      </x:c>
      <x:c r="O22" s="62" t="str">
        <x:f>IF(N22&gt;=4.75,"Critical",IF(N22&gt;=4,"High",IF(N22&gt;=3,"Medium","Low")))</x:f>
        <x:v>Critical</x:v>
      </x:c>
      <x:c r="P22" s="62" t="str">
        <x:v>Indirect</x:v>
      </x:c>
      <x:c r="Q22" s="62" t="str">
        <x:v>Separate backup account</x:v>
      </x:c>
      <x:c r="R22" s="62" t="str">
        <x:v>Primary function</x:v>
      </x:c>
      <x:c r="S22" s="62" t="str">
        <x:v>Backup logs; email alerts</x:v>
      </x:c>
      <x:c r="T22" s="62" t="str">
        <x:v>Production</x:v>
      </x:c>
      <x:c r="U22" s="62" t="str">
        <x:v>Servers; cloud copy; network</x:v>
      </x:c>
      <x:c r="V22" s="62" t="str">
        <x:v>Needs Improvement</x:v>
      </x:c>
      <x:c r="W22" s="62" t="str">
        <x:v>Immutability/offline protection not confirmed; restore tests are ad hoc.</x:v>
      </x:c>
      <x:c r="X22" s="62" t="n">
        <x:v>4</x:v>
      </x:c>
      <x:c r="Y22" s="62" t="n">
        <x:v>4</x:v>
      </x:c>
    </x:row>
    <x:row r="23">
      <x:c r="A23" s="62" t="str">
        <x:v>AST-022</x:v>
      </x:c>
      <x:c r="B23" s="62" t="str">
        <x:v>Remote Monitoring &amp; Management Tool</x:v>
      </x:c>
      <x:c r="C23" s="62" t="str">
        <x:v>Management SaaS</x:v>
      </x:c>
      <x:c r="D23" s="62" t="str">
        <x:v>Endpoint support and remote administration</x:v>
      </x:c>
      <x:c r="E23" s="62" t="str">
        <x:v>IT Manager</x:v>
      </x:c>
      <x:c r="F23" s="62" t="str">
        <x:v>IT Support Lead</x:v>
      </x:c>
      <x:c r="G23" s="62" t="str">
        <x:v>Cloud</x:v>
      </x:c>
      <x:c r="H23" s="62" t="str">
        <x:v>Fictional RMM vendor</x:v>
      </x:c>
      <x:c r="I23" s="62" t="str">
        <x:v>Device inventory, remote-control capability, scripts</x:v>
      </x:c>
      <x:c r="J23" s="62" t="str">
        <x:v>Restricted</x:v>
      </x:c>
      <x:c r="K23" s="62" t="n">
        <x:v>5</x:v>
      </x:c>
      <x:c r="L23" s="62" t="n">
        <x:v>5</x:v>
      </x:c>
      <x:c r="M23" s="62" t="n">
        <x:v>5</x:v>
      </x:c>
      <x:c r="N23" s="160" t="n">
        <x:f>ROUND(AVERAGE(K23:M23),1)</x:f>
        <x:v>5</x:v>
      </x:c>
      <x:c r="O23" s="62" t="str">
        <x:f>IF(N23&gt;=4.75,"Critical",IF(N23&gt;=4,"High",IF(N23&gt;=3,"Medium","Low")))</x:f>
        <x:v>Critical</x:v>
      </x:c>
      <x:c r="P23" s="62" t="str">
        <x:v>Yes</x:v>
      </x:c>
      <x:c r="Q23" s="62" t="str">
        <x:v>MFA for IT team</x:v>
      </x:c>
      <x:c r="R23" s="62" t="str">
        <x:v>Vendor resilience</x:v>
      </x:c>
      <x:c r="S23" s="62" t="str">
        <x:v>Vendor admin logs</x:v>
      </x:c>
      <x:c r="T23" s="62" t="str">
        <x:v>Production</x:v>
      </x:c>
      <x:c r="U23" s="62" t="str">
        <x:v>Internet; endpoints; admin accounts</x:v>
      </x:c>
      <x:c r="V23" s="62" t="str">
        <x:v>Needs Improvement</x:v>
      </x:c>
      <x:c r="W23" s="62" t="str">
        <x:v>High-impact supply-chain tool; vendor assurance and role permissions need review.</x:v>
      </x:c>
      <x:c r="X23" s="62" t="n">
        <x:v>4</x:v>
      </x:c>
      <x:c r="Y23" s="62" t="n">
        <x:v>2</x:v>
      </x:c>
    </x:row>
    <x:row r="24">
      <x:c r="A24" s="62" t="str">
        <x:v>AST-023</x:v>
      </x:c>
      <x:c r="B24" s="62" t="str">
        <x:v>Endpoint Protection Platform</x:v>
      </x:c>
      <x:c r="C24" s="62" t="str">
        <x:v>Security Tool</x:v>
      </x:c>
      <x:c r="D24" s="62" t="str">
        <x:v>Malware prevention and endpoint detection</x:v>
      </x:c>
      <x:c r="E24" s="62" t="str">
        <x:v>IT Manager</x:v>
      </x:c>
      <x:c r="F24" s="62" t="str">
        <x:v>IT Security Analyst</x:v>
      </x:c>
      <x:c r="G24" s="62" t="str">
        <x:v>Cloud</x:v>
      </x:c>
      <x:c r="H24" s="62" t="str">
        <x:v>Commercial EDR/AV</x:v>
      </x:c>
      <x:c r="I24" s="62" t="str">
        <x:v>Endpoint telemetry and security events</x:v>
      </x:c>
      <x:c r="J24" s="62" t="str">
        <x:v>Confidential</x:v>
      </x:c>
      <x:c r="K24" s="62" t="n">
        <x:v>4</x:v>
      </x:c>
      <x:c r="L24" s="62" t="n">
        <x:v>5</x:v>
      </x:c>
      <x:c r="M24" s="62" t="n">
        <x:v>5</x:v>
      </x:c>
      <x:c r="N24" s="160" t="n">
        <x:f>ROUND(AVERAGE(K24:M24),1)</x:f>
        <x:v>4.7</x:v>
      </x:c>
      <x:c r="O24" s="62" t="str">
        <x:f>IF(N24&gt;=4.75,"Critical",IF(N24&gt;=4,"High",IF(N24&gt;=3,"Medium","Low")))</x:f>
        <x:v>High</x:v>
      </x:c>
      <x:c r="P24" s="62" t="str">
        <x:v>Yes</x:v>
      </x:c>
      <x:c r="Q24" s="62" t="str">
        <x:v>Admin MFA</x:v>
      </x:c>
      <x:c r="R24" s="62" t="str">
        <x:v>Vendor cloud resilience</x:v>
      </x:c>
      <x:c r="S24" s="62" t="str">
        <x:v>Security console alerts</x:v>
      </x:c>
      <x:c r="T24" s="62" t="str">
        <x:v>Production</x:v>
      </x:c>
      <x:c r="U24" s="62" t="str">
        <x:v>Endpoints; internet</x:v>
      </x:c>
      <x:c r="V24" s="62" t="str">
        <x:v>Adequate</x:v>
      </x:c>
      <x:c r="W24" s="62" t="str">
        <x:v>Alert ownership is informal; tuning and escalation procedures need definition.</x:v>
      </x:c>
      <x:c r="X24" s="62" t="n">
        <x:v>4</x:v>
      </x:c>
      <x:c r="Y24" s="62" t="n">
        <x:v>2</x:v>
      </x:c>
    </x:row>
    <x:row r="25">
      <x:c r="A25" s="62" t="str">
        <x:v>AST-024</x:v>
      </x:c>
      <x:c r="B25" s="62" t="str">
        <x:v>Public Website</x:v>
      </x:c>
      <x:c r="C25" s="62" t="str">
        <x:v>Web Application</x:v>
      </x:c>
      <x:c r="D25" s="62" t="str">
        <x:v>Marketing and customer information</x:v>
      </x:c>
      <x:c r="E25" s="62" t="str">
        <x:v>Marketing Manager</x:v>
      </x:c>
      <x:c r="F25" s="62" t="str">
        <x:v>External Web Vendor</x:v>
      </x:c>
      <x:c r="G25" s="62" t="str">
        <x:v>Cloud</x:v>
      </x:c>
      <x:c r="H25" s="62" t="str">
        <x:v>Managed hosting/CMS</x:v>
      </x:c>
      <x:c r="I25" s="62" t="str">
        <x:v>Public content, inquiry form data</x:v>
      </x:c>
      <x:c r="J25" s="62" t="str">
        <x:v>Confidential</x:v>
      </x:c>
      <x:c r="K25" s="62" t="n">
        <x:v>3</x:v>
      </x:c>
      <x:c r="L25" s="62" t="n">
        <x:v>4</x:v>
      </x:c>
      <x:c r="M25" s="62" t="n">
        <x:v>3</x:v>
      </x:c>
      <x:c r="N25" s="160" t="n">
        <x:f>ROUND(AVERAGE(K25:M25),1)</x:f>
        <x:v>3.3</x:v>
      </x:c>
      <x:c r="O25" s="62" t="str">
        <x:f>IF(N25&gt;=4.75,"Critical",IF(N25&gt;=4,"High",IF(N25&gt;=3,"Medium","Low")))</x:f>
        <x:v>Medium</x:v>
      </x:c>
      <x:c r="P25" s="62" t="str">
        <x:v>Yes</x:v>
      </x:c>
      <x:c r="Q25" s="62" t="str">
        <x:v>CMS admin accounts</x:v>
      </x:c>
      <x:c r="R25" s="62" t="str">
        <x:v>Vendor backup</x:v>
      </x:c>
      <x:c r="S25" s="62" t="str">
        <x:v>Hosting logs</x:v>
      </x:c>
      <x:c r="T25" s="62" t="str">
        <x:v>Production</x:v>
      </x:c>
      <x:c r="U25" s="62" t="str">
        <x:v>DNS; hosting vendor; email</x:v>
      </x:c>
      <x:c r="V25" s="62" t="str">
        <x:v>Needs Improvement</x:v>
      </x:c>
      <x:c r="W25" s="62" t="str">
        <x:v>Plugin/CMS patching responsibility and web-form protection need clearer ownership.</x:v>
      </x:c>
      <x:c r="X25" s="62" t="n">
        <x:v>24</x:v>
      </x:c>
      <x:c r="Y25" s="62" t="n">
        <x:v>24</x:v>
      </x:c>
    </x:row>
    <x:row r="26">
      <x:c r="A26" s="62" t="str">
        <x:v>AST-025</x:v>
      </x:c>
      <x:c r="B26" s="62" t="str">
        <x:v>DNS / Domain Registrar</x:v>
      </x:c>
      <x:c r="C26" s="62" t="str">
        <x:v>Internet Service</x:v>
      </x:c>
      <x:c r="D26" s="62" t="str">
        <x:v>Corporate domains, mail routing and website availability</x:v>
      </x:c>
      <x:c r="E26" s="62" t="str">
        <x:v>IT Manager</x:v>
      </x:c>
      <x:c r="F26" s="62" t="str">
        <x:v>IT Manager</x:v>
      </x:c>
      <x:c r="G26" s="62" t="str">
        <x:v>Cloud</x:v>
      </x:c>
      <x:c r="H26" s="62" t="str">
        <x:v>Registrar/DNS provider</x:v>
      </x:c>
      <x:c r="I26" s="62" t="str">
        <x:v>DNS records, domain ownership, admin contacts</x:v>
      </x:c>
      <x:c r="J26" s="62" t="str">
        <x:v>Restricted</x:v>
      </x:c>
      <x:c r="K26" s="62" t="n">
        <x:v>5</x:v>
      </x:c>
      <x:c r="L26" s="62" t="n">
        <x:v>5</x:v>
      </x:c>
      <x:c r="M26" s="62" t="n">
        <x:v>5</x:v>
      </x:c>
      <x:c r="N26" s="160" t="n">
        <x:f>ROUND(AVERAGE(K26:M26),1)</x:f>
        <x:v>5</x:v>
      </x:c>
      <x:c r="O26" s="62" t="str">
        <x:f>IF(N26&gt;=4.75,"Critical",IF(N26&gt;=4,"High",IF(N26&gt;=3,"Medium","Low")))</x:f>
        <x:v>Critical</x:v>
      </x:c>
      <x:c r="P26" s="62" t="str">
        <x:v>Yes</x:v>
      </x:c>
      <x:c r="Q26" s="62" t="str">
        <x:v>MFA enabled</x:v>
      </x:c>
      <x:c r="R26" s="62" t="str">
        <x:v>Provider resilience</x:v>
      </x:c>
      <x:c r="S26" s="62" t="str">
        <x:v>Account activity logs</x:v>
      </x:c>
      <x:c r="T26" s="62" t="str">
        <x:v>Production</x:v>
      </x:c>
      <x:c r="U26" s="62" t="str">
        <x:v>Registrar account; M365; website</x:v>
      </x:c>
      <x:c r="V26" s="62" t="str">
        <x:v>Adequate</x:v>
      </x:c>
      <x:c r="W26" s="62" t="str">
        <x:v>Domain takeover would have enterprise-wide impact; recovery contacts need validation.</x:v>
      </x:c>
      <x:c r="X26" s="62" t="n">
        <x:v>4</x:v>
      </x:c>
      <x:c r="Y26" s="62" t="n">
        <x:v>4</x:v>
      </x:c>
    </x:row>
    <x:row r="27">
      <x:c r="A27" s="62" t="str">
        <x:v>AST-026</x:v>
      </x:c>
      <x:c r="B27" s="62" t="str">
        <x:v>Primary ISP — Kingston</x:v>
      </x:c>
      <x:c r="C27" s="62" t="str">
        <x:v>Telecommunications</x:v>
      </x:c>
      <x:c r="D27" s="62" t="str">
        <x:v>Internet connectivity</x:v>
      </x:c>
      <x:c r="E27" s="62" t="str">
        <x:v>COO</x:v>
      </x:c>
      <x:c r="F27" s="62" t="str">
        <x:v>IT Manager</x:v>
      </x:c>
      <x:c r="G27" s="62" t="str">
        <x:v>Kingston</x:v>
      </x:c>
      <x:c r="H27" s="62" t="str">
        <x:v>Telecom provider</x:v>
      </x:c>
      <x:c r="I27" s="62" t="str">
        <x:v>Network connectivity</x:v>
      </x:c>
      <x:c r="J27" s="62" t="str">
        <x:v>Internal</x:v>
      </x:c>
      <x:c r="K27" s="62" t="n">
        <x:v>2</x:v>
      </x:c>
      <x:c r="L27" s="62" t="n">
        <x:v>4</x:v>
      </x:c>
      <x:c r="M27" s="62" t="n">
        <x:v>5</x:v>
      </x:c>
      <x:c r="N27" s="160" t="n">
        <x:f>ROUND(AVERAGE(K27:M27),1)</x:f>
        <x:v>3.7</x:v>
      </x:c>
      <x:c r="O27" s="62" t="str">
        <x:f>IF(N27&gt;=4.75,"Critical",IF(N27&gt;=4,"High",IF(N27&gt;=3,"Medium","Low")))</x:f>
        <x:v>Medium</x:v>
      </x:c>
      <x:c r="P27" s="62" t="str">
        <x:v>Vendor Managed</x:v>
      </x:c>
      <x:c r="Q27" s="62" t="str">
        <x:v>Provider account</x:v>
      </x:c>
      <x:c r="R27" s="62" t="str">
        <x:v>Provider redundancy partial</x:v>
      </x:c>
      <x:c r="S27" s="62" t="str">
        <x:v>Provider monitoring</x:v>
      </x:c>
      <x:c r="T27" s="62" t="str">
        <x:v>Production</x:v>
      </x:c>
      <x:c r="U27" s="62" t="str">
        <x:v>Firewall; provider network</x:v>
      </x:c>
      <x:c r="V27" s="62" t="str">
        <x:v>Adequate</x:v>
      </x:c>
      <x:c r="W27" s="62" t="str">
        <x:v>Single primary circuit; failover capacity is limited.</x:v>
      </x:c>
      <x:c r="X27" s="62" t="n">
        <x:v>4</x:v>
      </x:c>
      <x:c r="Y27" s="62" t="n">
        <x:v>1</x:v>
      </x:c>
    </x:row>
    <x:row r="28">
      <x:c r="A28" s="62" t="str">
        <x:v>AST-027</x:v>
      </x:c>
      <x:c r="B28" s="62" t="str">
        <x:v>Branch ISP — Montego Bay</x:v>
      </x:c>
      <x:c r="C28" s="62" t="str">
        <x:v>Telecommunications</x:v>
      </x:c>
      <x:c r="D28" s="62" t="str">
        <x:v>Branch internet connectivity</x:v>
      </x:c>
      <x:c r="E28" s="62" t="str">
        <x:v>COO</x:v>
      </x:c>
      <x:c r="F28" s="62" t="str">
        <x:v>IT Manager</x:v>
      </x:c>
      <x:c r="G28" s="62" t="str">
        <x:v>Montego Bay</x:v>
      </x:c>
      <x:c r="H28" s="62" t="str">
        <x:v>Telecom provider</x:v>
      </x:c>
      <x:c r="I28" s="62" t="str">
        <x:v>Network connectivity</x:v>
      </x:c>
      <x:c r="J28" s="62" t="str">
        <x:v>Internal</x:v>
      </x:c>
      <x:c r="K28" s="62" t="n">
        <x:v>2</x:v>
      </x:c>
      <x:c r="L28" s="62" t="n">
        <x:v>4</x:v>
      </x:c>
      <x:c r="M28" s="62" t="n">
        <x:v>4</x:v>
      </x:c>
      <x:c r="N28" s="160" t="n">
        <x:f>ROUND(AVERAGE(K28:M28),1)</x:f>
        <x:v>3.3</x:v>
      </x:c>
      <x:c r="O28" s="62" t="str">
        <x:f>IF(N28&gt;=4.75,"Critical",IF(N28&gt;=4,"High",IF(N28&gt;=3,"Medium","Low")))</x:f>
        <x:v>Medium</x:v>
      </x:c>
      <x:c r="P28" s="62" t="str">
        <x:v>Vendor Managed</x:v>
      </x:c>
      <x:c r="Q28" s="62" t="str">
        <x:v>Provider account</x:v>
      </x:c>
      <x:c r="R28" s="62" t="str">
        <x:v>Mobile failover</x:v>
      </x:c>
      <x:c r="S28" s="62" t="str">
        <x:v>Provider monitoring</x:v>
      </x:c>
      <x:c r="T28" s="62" t="str">
        <x:v>Production</x:v>
      </x:c>
      <x:c r="U28" s="62" t="str">
        <x:v>Branch firewall</x:v>
      </x:c>
      <x:c r="V28" s="62" t="str">
        <x:v>Adequate</x:v>
      </x:c>
      <x:c r="W28" s="62" t="str">
        <x:v>Failover exists but has reduced bandwidth.</x:v>
      </x:c>
      <x:c r="X28" s="62" t="n">
        <x:v>8</x:v>
      </x:c>
      <x:c r="Y28" s="62" t="n">
        <x:v>1</x:v>
      </x:c>
    </x:row>
    <x:row r="29">
      <x:c r="A29" s="62" t="str">
        <x:v>AST-028</x:v>
      </x:c>
      <x:c r="B29" s="62" t="str">
        <x:v>Customer Master Dataset</x:v>
      </x:c>
      <x:c r="C29" s="62" t="str">
        <x:v>Information Asset</x:v>
      </x:c>
      <x:c r="D29" s="62" t="str">
        <x:v>Customer service, sales, invoicing and relationship management</x:v>
      </x:c>
      <x:c r="E29" s="62" t="str">
        <x:v>COO</x:v>
      </x:c>
      <x:c r="F29" s="62" t="str">
        <x:v>Data Owners / App Admins</x:v>
      </x:c>
      <x:c r="G29" s="62" t="str">
        <x:v>Multiple cloud systems</x:v>
      </x:c>
      <x:c r="H29" s="62" t="str">
        <x:v>CRM / M365 / Accounting</x:v>
      </x:c>
      <x:c r="I29" s="62" t="str">
        <x:v>Customer identities, contacts, contracts, transaction references</x:v>
      </x:c>
      <x:c r="J29" s="62" t="str">
        <x:v>Highly Confidential</x:v>
      </x:c>
      <x:c r="K29" s="62" t="n">
        <x:v>5</x:v>
      </x:c>
      <x:c r="L29" s="62" t="n">
        <x:v>5</x:v>
      </x:c>
      <x:c r="M29" s="62" t="n">
        <x:v>4</x:v>
      </x:c>
      <x:c r="N29" s="160" t="n">
        <x:f>ROUND(AVERAGE(K29:M29),1)</x:f>
        <x:v>4.7</x:v>
      </x:c>
      <x:c r="O29" s="62" t="str">
        <x:f>IF(N29&gt;=4.75,"Critical",IF(N29&gt;=4,"High",IF(N29&gt;=3,"Medium","Low")))</x:f>
        <x:v>High</x:v>
      </x:c>
      <x:c r="P29" s="62" t="str">
        <x:v>Indirect</x:v>
      </x:c>
      <x:c r="Q29" s="62" t="str">
        <x:v>Inherited application controls</x:v>
      </x:c>
      <x:c r="R29" s="62" t="str">
        <x:v>Application/vendor backups</x:v>
      </x:c>
      <x:c r="S29" s="62" t="str">
        <x:v>Application logs vary</x:v>
      </x:c>
      <x:c r="T29" s="62" t="str">
        <x:v>Production</x:v>
      </x:c>
      <x:c r="U29" s="62" t="str">
        <x:v>CRM; M365; accounting</x:v>
      </x:c>
      <x:c r="V29" s="62" t="str">
        <x:v>Needs Improvement</x:v>
      </x:c>
      <x:c r="W29" s="62" t="str">
        <x:v>Duplicate copies exist across systems and exports; ownership and retention are inconsistent.</x:v>
      </x:c>
      <x:c r="X29" s="62" t="n">
        <x:v>8</x:v>
      </x:c>
      <x:c r="Y29" s="62" t="n">
        <x:v>8</x:v>
      </x:c>
    </x:row>
    <x:row r="30">
      <x:c r="A30" s="62" t="str">
        <x:v>AST-029</x:v>
      </x:c>
      <x:c r="B30" s="62" t="str">
        <x:v>Employee HR Dataset</x:v>
      </x:c>
      <x:c r="C30" s="62" t="str">
        <x:v>Information Asset</x:v>
      </x:c>
      <x:c r="D30" s="62" t="str">
        <x:v>Human resources administration</x:v>
      </x:c>
      <x:c r="E30" s="62" t="str">
        <x:v>HR Manager</x:v>
      </x:c>
      <x:c r="F30" s="62" t="str">
        <x:v>HR Application Admin</x:v>
      </x:c>
      <x:c r="G30" s="62" t="str">
        <x:v>HR SaaS / M365</x:v>
      </x:c>
      <x:c r="H30" s="62" t="str">
        <x:v>HR SaaS</x:v>
      </x:c>
      <x:c r="I30" s="62" t="str">
        <x:v>Identity, employment, leave, performance, payroll references</x:v>
      </x:c>
      <x:c r="J30" s="62" t="str">
        <x:v>Restricted</x:v>
      </x:c>
      <x:c r="K30" s="62" t="n">
        <x:v>5</x:v>
      </x:c>
      <x:c r="L30" s="62" t="n">
        <x:v>5</x:v>
      </x:c>
      <x:c r="M30" s="62" t="n">
        <x:v>4</x:v>
      </x:c>
      <x:c r="N30" s="160" t="n">
        <x:f>ROUND(AVERAGE(K30:M30),1)</x:f>
        <x:v>4.7</x:v>
      </x:c>
      <x:c r="O30" s="62" t="str">
        <x:f>IF(N30&gt;=4.75,"Critical",IF(N30&gt;=4,"High",IF(N30&gt;=3,"Medium","Low")))</x:f>
        <x:v>High</x:v>
      </x:c>
      <x:c r="P30" s="62" t="str">
        <x:v>Indirect</x:v>
      </x:c>
      <x:c r="Q30" s="62" t="str">
        <x:v>HR system permissions</x:v>
      </x:c>
      <x:c r="R30" s="62" t="str">
        <x:v>Vendor backup</x:v>
      </x:c>
      <x:c r="S30" s="62" t="str">
        <x:v>Vendor logs</x:v>
      </x:c>
      <x:c r="T30" s="62" t="str">
        <x:v>Production</x:v>
      </x:c>
      <x:c r="U30" s="62" t="str">
        <x:v>HR SaaS; M365; finance</x:v>
      </x:c>
      <x:c r="V30" s="62" t="str">
        <x:v>Adequate</x:v>
      </x:c>
      <x:c r="W30" s="62" t="str">
        <x:v>Highly sensitive; access review and secure export process need documentation.</x:v>
      </x:c>
      <x:c r="X30" s="62" t="n">
        <x:v>12</x:v>
      </x:c>
      <x:c r="Y30" s="62" t="n">
        <x:v>8</x:v>
      </x:c>
    </x:row>
    <x:row r="31">
      <x:c r="A31" s="62" t="str">
        <x:v>AST-030</x:v>
      </x:c>
      <x:c r="B31" s="62" t="str">
        <x:v>Financial Records Dataset</x:v>
      </x:c>
      <x:c r="C31" s="62" t="str">
        <x:v>Information Asset</x:v>
      </x:c>
      <x:c r="D31" s="62" t="str">
        <x:v>Financial reporting, audit and management</x:v>
      </x:c>
      <x:c r="E31" s="62" t="str">
        <x:v>Finance Manager</x:v>
      </x:c>
      <x:c r="F31" s="62" t="str">
        <x:v>Finance Application Admin</x:v>
      </x:c>
      <x:c r="G31" s="62" t="str">
        <x:v>Accounting SaaS / M365</x:v>
      </x:c>
      <x:c r="H31" s="62" t="str">
        <x:v>Accounting SaaS</x:v>
      </x:c>
      <x:c r="I31" s="62" t="str">
        <x:v>Invoices, ledger, vendor/customer financial information</x:v>
      </x:c>
      <x:c r="J31" s="62" t="str">
        <x:v>Restricted</x:v>
      </x:c>
      <x:c r="K31" s="62" t="n">
        <x:v>5</x:v>
      </x:c>
      <x:c r="L31" s="62" t="n">
        <x:v>5</x:v>
      </x:c>
      <x:c r="M31" s="62" t="n">
        <x:v>5</x:v>
      </x:c>
      <x:c r="N31" s="160" t="n">
        <x:f>ROUND(AVERAGE(K31:M31),1)</x:f>
        <x:v>5</x:v>
      </x:c>
      <x:c r="O31" s="62" t="str">
        <x:f>IF(N31&gt;=4.75,"Critical",IF(N31&gt;=4,"High",IF(N31&gt;=3,"Medium","Low")))</x:f>
        <x:v>Critical</x:v>
      </x:c>
      <x:c r="P31" s="62" t="str">
        <x:v>Indirect</x:v>
      </x:c>
      <x:c r="Q31" s="62" t="str">
        <x:v>Accounting app controls</x:v>
      </x:c>
      <x:c r="R31" s="62" t="str">
        <x:v>Vendor backup + exports</x:v>
      </x:c>
      <x:c r="S31" s="62" t="str">
        <x:v>Vendor logs</x:v>
      </x:c>
      <x:c r="T31" s="62" t="str">
        <x:v>Production</x:v>
      </x:c>
      <x:c r="U31" s="62" t="str">
        <x:v>Accounting system; finance users</x:v>
      </x:c>
      <x:c r="V31" s="62" t="str">
        <x:v>Adequate</x:v>
      </x:c>
      <x:c r="W31" s="62" t="str">
        <x:v>Integrity is critical; change/audit logging should be reviewed.</x:v>
      </x:c>
      <x:c r="X31" s="62" t="n">
        <x:v>4</x:v>
      </x:c>
      <x:c r="Y31" s="62" t="n">
        <x:v>4</x:v>
      </x:c>
    </x:row>
    <x:row r="32">
      <x:c r="A32" s="62" t="str">
        <x:v>AST-031</x:v>
      </x:c>
      <x:c r="B32" s="62" t="str">
        <x:v>Administrative Credentials / Secrets</x:v>
      </x:c>
      <x:c r="C32" s="62" t="str">
        <x:v>Information Asset</x:v>
      </x:c>
      <x:c r="D32" s="62" t="str">
        <x:v>Privileged access to critical systems</x:v>
      </x:c>
      <x:c r="E32" s="62" t="str">
        <x:v>IT Manager</x:v>
      </x:c>
      <x:c r="F32" s="62" t="str">
        <x:v>IT Manager</x:v>
      </x:c>
      <x:c r="G32" s="62" t="str">
        <x:v>Password manager / admin vault</x:v>
      </x:c>
      <x:c r="H32" s="62" t="str">
        <x:v>Multiple</x:v>
      </x:c>
      <x:c r="I32" s="62" t="str">
        <x:v>Admin passwords, recovery codes, API keys</x:v>
      </x:c>
      <x:c r="J32" s="62" t="str">
        <x:v>Restricted</x:v>
      </x:c>
      <x:c r="K32" s="62" t="n">
        <x:v>5</x:v>
      </x:c>
      <x:c r="L32" s="62" t="n">
        <x:v>5</x:v>
      </x:c>
      <x:c r="M32" s="62" t="n">
        <x:v>5</x:v>
      </x:c>
      <x:c r="N32" s="160" t="n">
        <x:f>ROUND(AVERAGE(K32:M32),1)</x:f>
        <x:v>5</x:v>
      </x:c>
      <x:c r="O32" s="62" t="str">
        <x:f>IF(N32&gt;=4.75,"Critical",IF(N32&gt;=4,"High",IF(N32&gt;=3,"Medium","Low")))</x:f>
        <x:v>Critical</x:v>
      </x:c>
      <x:c r="P32" s="62" t="str">
        <x:v>Indirect</x:v>
      </x:c>
      <x:c r="Q32" s="62" t="str">
        <x:v>Password vault + MFA</x:v>
      </x:c>
      <x:c r="R32" s="62" t="str">
        <x:v>Secure recovery process</x:v>
      </x:c>
      <x:c r="S32" s="62" t="str">
        <x:v>Vault audit logs</x:v>
      </x:c>
      <x:c r="T32" s="62" t="str">
        <x:v>Production</x:v>
      </x:c>
      <x:c r="U32" s="62" t="str">
        <x:v>IT team; identity systems</x:v>
      </x:c>
      <x:c r="V32" s="62" t="str">
        <x:v>Needs Improvement</x:v>
      </x:c>
      <x:c r="W32" s="62" t="str">
        <x:v>Some legacy credentials remain outside the central vault.</x:v>
      </x:c>
      <x:c r="X32" s="62" t="n">
        <x:v>2</x:v>
      </x:c>
      <x:c r="Y32" s="62" t="n">
        <x:v>1</x:v>
      </x:c>
    </x:row>
    <x:row r="33">
      <x:c r="A33" s="62" t="str">
        <x:v>AST-032</x:v>
      </x:c>
      <x:c r="B33" s="62" t="str">
        <x:v>Company Password Manager</x:v>
      </x:c>
      <x:c r="C33" s="62" t="str">
        <x:v>Security Tool</x:v>
      </x:c>
      <x:c r="D33" s="62" t="str">
        <x:v>Secure storage of workforce and admin credentials</x:v>
      </x:c>
      <x:c r="E33" s="62" t="str">
        <x:v>IT Manager</x:v>
      </x:c>
      <x:c r="F33" s="62" t="str">
        <x:v>IT Manager</x:v>
      </x:c>
      <x:c r="G33" s="62" t="str">
        <x:v>Cloud</x:v>
      </x:c>
      <x:c r="H33" s="62" t="str">
        <x:v>Password manager vendor</x:v>
      </x:c>
      <x:c r="I33" s="62" t="str">
        <x:v>Credentials and secure notes</x:v>
      </x:c>
      <x:c r="J33" s="62" t="str">
        <x:v>Restricted</x:v>
      </x:c>
      <x:c r="K33" s="62" t="n">
        <x:v>5</x:v>
      </x:c>
      <x:c r="L33" s="62" t="n">
        <x:v>5</x:v>
      </x:c>
      <x:c r="M33" s="62" t="n">
        <x:v>5</x:v>
      </x:c>
      <x:c r="N33" s="160" t="n">
        <x:f>ROUND(AVERAGE(K33:M33),1)</x:f>
        <x:v>5</x:v>
      </x:c>
      <x:c r="O33" s="62" t="str">
        <x:f>IF(N33&gt;=4.75,"Critical",IF(N33&gt;=4,"High",IF(N33&gt;=3,"Medium","Low")))</x:f>
        <x:v>Critical</x:v>
      </x:c>
      <x:c r="P33" s="62" t="str">
        <x:v>Yes</x:v>
      </x:c>
      <x:c r="Q33" s="62" t="str">
        <x:v>MFA / SSO</x:v>
      </x:c>
      <x:c r="R33" s="62" t="str">
        <x:v>Vendor resilience</x:v>
      </x:c>
      <x:c r="S33" s="62" t="str">
        <x:v>Admin/activity logs</x:v>
      </x:c>
      <x:c r="T33" s="62" t="str">
        <x:v>Production</x:v>
      </x:c>
      <x:c r="U33" s="62" t="str">
        <x:v>Entra ID; internet</x:v>
      </x:c>
      <x:c r="V33" s="62" t="str">
        <x:v>Adequate</x:v>
      </x:c>
      <x:c r="W33" s="62" t="str">
        <x:v>Emergency access and offboarding procedures require testing.</x:v>
      </x:c>
      <x:c r="X33" s="62" t="n">
        <x:v>4</x:v>
      </x:c>
      <x:c r="Y33" s="62" t="n">
        <x:v>2</x:v>
      </x:c>
    </x:row>
    <x:row r="34">
      <x:c r="A34" s="62" t="str">
        <x:v>AST-033</x:v>
      </x:c>
      <x:c r="B34" s="62" t="str">
        <x:v>Email Security Gateway / Anti-Phishing</x:v>
      </x:c>
      <x:c r="C34" s="62" t="str">
        <x:v>Security Tool</x:v>
      </x:c>
      <x:c r="D34" s="62" t="str">
        <x:v>Filter malicious email and impersonation attempts</x:v>
      </x:c>
      <x:c r="E34" s="62" t="str">
        <x:v>IT Manager</x:v>
      </x:c>
      <x:c r="F34" s="62" t="str">
        <x:v>IT Security Analyst</x:v>
      </x:c>
      <x:c r="G34" s="62" t="str">
        <x:v>Cloud</x:v>
      </x:c>
      <x:c r="H34" s="62" t="str">
        <x:v>Microsoft / security add-on</x:v>
      </x:c>
      <x:c r="I34" s="62" t="str">
        <x:v>Email metadata, threats, quarantine</x:v>
      </x:c>
      <x:c r="J34" s="62" t="str">
        <x:v>Confidential</x:v>
      </x:c>
      <x:c r="K34" s="62" t="n">
        <x:v>4</x:v>
      </x:c>
      <x:c r="L34" s="62" t="n">
        <x:v>5</x:v>
      </x:c>
      <x:c r="M34" s="62" t="n">
        <x:v>5</x:v>
      </x:c>
      <x:c r="N34" s="160" t="n">
        <x:f>ROUND(AVERAGE(K34:M34),1)</x:f>
        <x:v>4.7</x:v>
      </x:c>
      <x:c r="O34" s="62" t="str">
        <x:f>IF(N34&gt;=4.75,"Critical",IF(N34&gt;=4,"High",IF(N34&gt;=3,"Medium","Low")))</x:f>
        <x:v>High</x:v>
      </x:c>
      <x:c r="P34" s="62" t="str">
        <x:v>Yes</x:v>
      </x:c>
      <x:c r="Q34" s="62" t="str">
        <x:v>Admin MFA</x:v>
      </x:c>
      <x:c r="R34" s="62" t="str">
        <x:v>Vendor resilience</x:v>
      </x:c>
      <x:c r="S34" s="62" t="str">
        <x:v>Threat reports</x:v>
      </x:c>
      <x:c r="T34" s="62" t="str">
        <x:v>Production</x:v>
      </x:c>
      <x:c r="U34" s="62" t="str">
        <x:v>M365; DNS</x:v>
      </x:c>
      <x:c r="V34" s="62" t="str">
        <x:v>Needs Improvement</x:v>
      </x:c>
      <x:c r="W34" s="62" t="str">
        <x:v>Advanced impersonation policies are not consistently configured for finance/executives.</x:v>
      </x:c>
      <x:c r="X34" s="62" t="n">
        <x:v>4</x:v>
      </x:c>
      <x:c r="Y34" s="62" t="n">
        <x:v>2</x:v>
      </x:c>
    </x:row>
    <x:row r="35">
      <x:c r="A35" s="62" t="str">
        <x:v>AST-034</x:v>
      </x:c>
      <x:c r="B35" s="62" t="str">
        <x:v>Security Logging Repository</x:v>
      </x:c>
      <x:c r="C35" s="62" t="str">
        <x:v>Security Tool</x:v>
      </x:c>
      <x:c r="D35" s="62" t="str">
        <x:v>Central collection of selected security events</x:v>
      </x:c>
      <x:c r="E35" s="62" t="str">
        <x:v>IT Manager</x:v>
      </x:c>
      <x:c r="F35" s="62" t="str">
        <x:v>IT Security Analyst</x:v>
      </x:c>
      <x:c r="G35" s="62" t="str">
        <x:v>Cloud</x:v>
      </x:c>
      <x:c r="H35" s="62" t="str">
        <x:v>Lightweight SIEM / log service</x:v>
      </x:c>
      <x:c r="I35" s="62" t="str">
        <x:v>Security logs and alerts</x:v>
      </x:c>
      <x:c r="J35" s="62" t="str">
        <x:v>Restricted</x:v>
      </x:c>
      <x:c r="K35" s="62" t="n">
        <x:v>5</x:v>
      </x:c>
      <x:c r="L35" s="62" t="n">
        <x:v>5</x:v>
      </x:c>
      <x:c r="M35" s="62" t="n">
        <x:v>4</x:v>
      </x:c>
      <x:c r="N35" s="160" t="n">
        <x:f>ROUND(AVERAGE(K35:M35),1)</x:f>
        <x:v>4.7</x:v>
      </x:c>
      <x:c r="O35" s="62" t="str">
        <x:f>IF(N35&gt;=4.75,"Critical",IF(N35&gt;=4,"High",IF(N35&gt;=3,"Medium","Low")))</x:f>
        <x:v>High</x:v>
      </x:c>
      <x:c r="P35" s="62" t="str">
        <x:v>Yes</x:v>
      </x:c>
      <x:c r="Q35" s="62" t="str">
        <x:v>Admin MFA</x:v>
      </x:c>
      <x:c r="R35" s="62" t="str">
        <x:v>Vendor resilience</x:v>
      </x:c>
      <x:c r="S35" s="62" t="str">
        <x:v>Primary function</x:v>
      </x:c>
      <x:c r="T35" s="62" t="str">
        <x:v>Pilot</x:v>
      </x:c>
      <x:c r="U35" s="62" t="str">
        <x:v>Firewall; EDR; M365</x:v>
      </x:c>
      <x:c r="V35" s="62" t="str">
        <x:v>Needs Improvement</x:v>
      </x:c>
      <x:c r="W35" s="62" t="str">
        <x:v>Coverage is incomplete; critical SaaS and legacy server logs are not fully integrated.</x:v>
      </x:c>
      <x:c r="X35" s="62" t="n">
        <x:v>8</x:v>
      </x:c>
      <x:c r="Y35" s="62" t="n">
        <x:v>4</x:v>
      </x:c>
    </x:row>
    <x:row r="36">
      <x:c r="A36" s="62" t="str">
        <x:v>AST-035</x:v>
      </x:c>
      <x:c r="B36" s="62" t="str">
        <x:v>Third-Party Managed IT Provider</x:v>
      </x:c>
      <x:c r="C36" s="62" t="str">
        <x:v>Third Party</x:v>
      </x:c>
      <x:c r="D36" s="62" t="str">
        <x:v>Escalated support and infrastructure assistance</x:v>
      </x:c>
      <x:c r="E36" s="62" t="str">
        <x:v>IT Manager</x:v>
      </x:c>
      <x:c r="F36" s="62" t="str">
        <x:v>IT Manager</x:v>
      </x:c>
      <x:c r="G36" s="62" t="str">
        <x:v>External</x:v>
      </x:c>
      <x:c r="H36" s="62" t="str">
        <x:v>Managed service provider</x:v>
      </x:c>
      <x:c r="I36" s="62" t="str">
        <x:v>Administrative access to selected systems</x:v>
      </x:c>
      <x:c r="J36" s="62" t="str">
        <x:v>Restricted</x:v>
      </x:c>
      <x:c r="K36" s="62" t="n">
        <x:v>5</x:v>
      </x:c>
      <x:c r="L36" s="62" t="n">
        <x:v>5</x:v>
      </x:c>
      <x:c r="M36" s="62" t="n">
        <x:v>4</x:v>
      </x:c>
      <x:c r="N36" s="160" t="n">
        <x:f>ROUND(AVERAGE(K36:M36),1)</x:f>
        <x:v>4.7</x:v>
      </x:c>
      <x:c r="O36" s="62" t="str">
        <x:f>IF(N36&gt;=4.75,"Critical",IF(N36&gt;=4,"High",IF(N36&gt;=3,"Medium","Low")))</x:f>
        <x:v>High</x:v>
      </x:c>
      <x:c r="P36" s="62" t="str">
        <x:v>Vendor Managed</x:v>
      </x:c>
      <x:c r="Q36" s="62" t="str">
        <x:v>Named technician accounts; MFA varies</x:v>
      </x:c>
      <x:c r="R36" s="62" t="str">
        <x:v>Vendor continuity</x:v>
      </x:c>
      <x:c r="S36" s="62" t="str">
        <x:v>Ticket/audit evidence varies</x:v>
      </x:c>
      <x:c r="T36" s="62" t="str">
        <x:v>Production</x:v>
      </x:c>
      <x:c r="U36" s="62" t="str">
        <x:v>RMM; endpoints; network</x:v>
      </x:c>
      <x:c r="V36" s="62" t="str">
        <x:v>Needs Improvement</x:v>
      </x:c>
      <x:c r="W36" s="62" t="str">
        <x:v>Contractual security obligations, access review and offboarding evidence need strengthening.</x:v>
      </x:c>
      <x:c r="X36" s="62" t="n">
        <x:v>8</x:v>
      </x:c>
      <x:c r="Y36" s="62" t="n">
        <x:v>4</x:v>
      </x:c>
    </x:row>
    <x:row r="37">
      <x:c r="A37" s="117"/>
      <x:c r="B37" s="117"/>
      <x:c r="C37" s="117"/>
      <x:c r="D37" s="117"/>
      <x:c r="E37" s="117"/>
      <x:c r="F37" s="117"/>
      <x:c r="G37" s="117"/>
      <x:c r="H37" s="117"/>
      <x:c r="I37" s="117"/>
      <x:c r="J37" s="117"/>
      <x:c r="K37" s="117"/>
      <x:c r="L37" s="117"/>
      <x:c r="M37" s="117"/>
      <x:c r="N37" s="161"/>
      <x:c r="O37" s="117"/>
      <x:c r="P37" s="117"/>
      <x:c r="Q37" s="117"/>
      <x:c r="R37" s="117"/>
      <x:c r="S37" s="117"/>
      <x:c r="T37" s="117"/>
      <x:c r="U37" s="117"/>
      <x:c r="V37" s="117"/>
      <x:c r="W37" s="117"/>
      <x:c r="X37" s="117"/>
      <x:c r="Y37" s="117"/>
    </x:row>
    <x:row r="38">
      <x:c r="A38" s="117"/>
      <x:c r="B38" s="117"/>
      <x:c r="C38" s="117"/>
      <x:c r="D38" s="117"/>
      <x:c r="E38" s="117"/>
      <x:c r="F38" s="117"/>
      <x:c r="G38" s="117"/>
      <x:c r="H38" s="117"/>
      <x:c r="I38" s="117"/>
      <x:c r="J38" s="117"/>
      <x:c r="K38" s="117"/>
      <x:c r="L38" s="117"/>
      <x:c r="M38" s="117"/>
      <x:c r="N38" s="161"/>
      <x:c r="O38" s="117"/>
      <x:c r="P38" s="117"/>
      <x:c r="Q38" s="117"/>
      <x:c r="R38" s="117"/>
      <x:c r="S38" s="117"/>
      <x:c r="T38" s="117"/>
      <x:c r="U38" s="117"/>
      <x:c r="V38" s="117"/>
      <x:c r="W38" s="117"/>
      <x:c r="X38" s="117"/>
      <x:c r="Y38" s="117"/>
    </x:row>
    <x:row r="39">
      <x:c r="A39" s="117"/>
      <x:c r="B39" s="117"/>
      <x:c r="C39" s="117"/>
      <x:c r="D39" s="117"/>
      <x:c r="E39" s="117"/>
      <x:c r="F39" s="117"/>
      <x:c r="G39" s="117"/>
      <x:c r="H39" s="117"/>
      <x:c r="I39" s="117"/>
      <x:c r="J39" s="117"/>
      <x:c r="K39" s="117"/>
      <x:c r="L39" s="117"/>
      <x:c r="M39" s="117"/>
      <x:c r="N39" s="161"/>
      <x:c r="O39" s="117"/>
      <x:c r="P39" s="117"/>
      <x:c r="Q39" s="117"/>
      <x:c r="R39" s="117"/>
      <x:c r="S39" s="117"/>
      <x:c r="T39" s="117"/>
      <x:c r="U39" s="117"/>
      <x:c r="V39" s="117"/>
      <x:c r="W39" s="117"/>
      <x:c r="X39" s="117"/>
      <x:c r="Y39" s="117"/>
    </x:row>
    <x:row r="40">
      <x:c r="A40" s="117"/>
      <x:c r="B40" s="117"/>
      <x:c r="C40" s="117"/>
      <x:c r="D40" s="117"/>
      <x:c r="E40" s="117"/>
      <x:c r="F40" s="117"/>
      <x:c r="G40" s="117"/>
      <x:c r="H40" s="117"/>
      <x:c r="I40" s="117"/>
      <x:c r="J40" s="117"/>
      <x:c r="K40" s="117"/>
      <x:c r="L40" s="117"/>
      <x:c r="M40" s="117"/>
      <x:c r="N40" s="161"/>
      <x:c r="O40" s="117"/>
      <x:c r="P40" s="117"/>
      <x:c r="Q40" s="117"/>
      <x:c r="R40" s="117"/>
      <x:c r="S40" s="117"/>
      <x:c r="T40" s="117"/>
      <x:c r="U40" s="117"/>
      <x:c r="V40" s="117"/>
      <x:c r="W40" s="117"/>
      <x:c r="X40" s="117"/>
      <x:c r="Y40" s="117"/>
    </x:row>
    <x:row r="41">
      <x:c r="A41" s="117"/>
      <x:c r="B41" s="117"/>
      <x:c r="C41" s="117"/>
      <x:c r="D41" s="117"/>
      <x:c r="E41" s="117"/>
      <x:c r="F41" s="117"/>
      <x:c r="G41" s="117"/>
      <x:c r="H41" s="117"/>
      <x:c r="I41" s="117"/>
      <x:c r="J41" s="117"/>
      <x:c r="K41" s="117"/>
      <x:c r="L41" s="117"/>
      <x:c r="M41" s="117"/>
      <x:c r="N41" s="161"/>
      <x:c r="O41" s="117"/>
      <x:c r="P41" s="117"/>
      <x:c r="Q41" s="117"/>
      <x:c r="R41" s="117"/>
      <x:c r="S41" s="117"/>
      <x:c r="T41" s="117"/>
      <x:c r="U41" s="117"/>
      <x:c r="V41" s="117"/>
      <x:c r="W41" s="117"/>
      <x:c r="X41" s="117"/>
      <x:c r="Y41" s="117"/>
    </x:row>
    <x:row r="42">
      <x:c r="A42" s="117"/>
      <x:c r="B42" s="117"/>
      <x:c r="C42" s="117"/>
      <x:c r="D42" s="117"/>
      <x:c r="E42" s="117"/>
      <x:c r="F42" s="117"/>
      <x:c r="G42" s="117"/>
      <x:c r="H42" s="117"/>
      <x:c r="I42" s="117"/>
      <x:c r="J42" s="117"/>
      <x:c r="K42" s="117"/>
      <x:c r="L42" s="117"/>
      <x:c r="M42" s="117"/>
      <x:c r="N42" s="161"/>
      <x:c r="O42" s="117"/>
      <x:c r="P42" s="117"/>
      <x:c r="Q42" s="117"/>
      <x:c r="R42" s="117"/>
      <x:c r="S42" s="117"/>
      <x:c r="T42" s="117"/>
      <x:c r="U42" s="117"/>
      <x:c r="V42" s="117"/>
      <x:c r="W42" s="117"/>
      <x:c r="X42" s="117"/>
      <x:c r="Y42" s="117"/>
    </x:row>
    <x:row r="43">
      <x:c r="A43" s="117"/>
      <x:c r="B43" s="117"/>
      <x:c r="C43" s="117"/>
      <x:c r="D43" s="117"/>
      <x:c r="E43" s="117"/>
      <x:c r="F43" s="117"/>
      <x:c r="G43" s="117"/>
      <x:c r="H43" s="117"/>
      <x:c r="I43" s="117"/>
      <x:c r="J43" s="117"/>
      <x:c r="K43" s="117"/>
      <x:c r="L43" s="117"/>
      <x:c r="M43" s="117"/>
      <x:c r="N43" s="161"/>
      <x:c r="O43" s="117"/>
      <x:c r="P43" s="117"/>
      <x:c r="Q43" s="117"/>
      <x:c r="R43" s="117"/>
      <x:c r="S43" s="117"/>
      <x:c r="T43" s="117"/>
      <x:c r="U43" s="117"/>
      <x:c r="V43" s="117"/>
      <x:c r="W43" s="117"/>
      <x:c r="X43" s="117"/>
      <x:c r="Y43" s="117"/>
    </x:row>
    <x:row r="44">
      <x:c r="A44" s="117"/>
      <x:c r="B44" s="117"/>
      <x:c r="C44" s="117"/>
      <x:c r="D44" s="117"/>
      <x:c r="E44" s="117"/>
      <x:c r="F44" s="117"/>
      <x:c r="G44" s="117"/>
      <x:c r="H44" s="117"/>
      <x:c r="I44" s="117"/>
      <x:c r="J44" s="117"/>
      <x:c r="K44" s="117"/>
      <x:c r="L44" s="117"/>
      <x:c r="M44" s="117"/>
      <x:c r="N44" s="161"/>
      <x:c r="O44" s="117"/>
      <x:c r="P44" s="117"/>
      <x:c r="Q44" s="117"/>
      <x:c r="R44" s="117"/>
      <x:c r="S44" s="117"/>
      <x:c r="T44" s="117"/>
      <x:c r="U44" s="117"/>
      <x:c r="V44" s="117"/>
      <x:c r="W44" s="117"/>
      <x:c r="X44" s="117"/>
      <x:c r="Y44" s="117"/>
    </x:row>
    <x:row r="45">
      <x:c r="A45" s="117"/>
      <x:c r="B45" s="117"/>
      <x:c r="C45" s="117"/>
      <x:c r="D45" s="117"/>
      <x:c r="E45" s="117"/>
      <x:c r="F45" s="117"/>
      <x:c r="G45" s="117"/>
      <x:c r="H45" s="117"/>
      <x:c r="I45" s="117"/>
      <x:c r="J45" s="117"/>
      <x:c r="K45" s="117"/>
      <x:c r="L45" s="117"/>
      <x:c r="M45" s="117"/>
      <x:c r="N45" s="161"/>
      <x:c r="O45" s="117"/>
      <x:c r="P45" s="117"/>
      <x:c r="Q45" s="117"/>
      <x:c r="R45" s="117"/>
      <x:c r="S45" s="117"/>
      <x:c r="T45" s="117"/>
      <x:c r="U45" s="117"/>
      <x:c r="V45" s="117"/>
      <x:c r="W45" s="117"/>
      <x:c r="X45" s="117"/>
      <x:c r="Y45" s="117"/>
    </x:row>
    <x:row r="46">
      <x:c r="A46" s="117"/>
      <x:c r="B46" s="117"/>
      <x:c r="C46" s="117"/>
      <x:c r="D46" s="117"/>
      <x:c r="E46" s="117"/>
      <x:c r="F46" s="117"/>
      <x:c r="G46" s="117"/>
      <x:c r="H46" s="117"/>
      <x:c r="I46" s="117"/>
      <x:c r="J46" s="117"/>
      <x:c r="K46" s="117"/>
      <x:c r="L46" s="117"/>
      <x:c r="M46" s="117"/>
      <x:c r="N46" s="161"/>
      <x:c r="O46" s="117"/>
      <x:c r="P46" s="117"/>
      <x:c r="Q46" s="117"/>
      <x:c r="R46" s="117"/>
      <x:c r="S46" s="117"/>
      <x:c r="T46" s="117"/>
      <x:c r="U46" s="117"/>
      <x:c r="V46" s="117"/>
      <x:c r="W46" s="117"/>
      <x:c r="X46" s="117"/>
      <x:c r="Y46" s="117"/>
    </x:row>
    <x:row r="47">
      <x:c r="A47" s="117"/>
      <x:c r="B47" s="117"/>
      <x:c r="C47" s="117"/>
      <x:c r="D47" s="117"/>
      <x:c r="E47" s="117"/>
      <x:c r="F47" s="117"/>
      <x:c r="G47" s="117"/>
      <x:c r="H47" s="117"/>
      <x:c r="I47" s="117"/>
      <x:c r="J47" s="117"/>
      <x:c r="K47" s="117"/>
      <x:c r="L47" s="117"/>
      <x:c r="M47" s="117"/>
      <x:c r="N47" s="161"/>
      <x:c r="O47" s="117"/>
      <x:c r="P47" s="117"/>
      <x:c r="Q47" s="117"/>
      <x:c r="R47" s="117"/>
      <x:c r="S47" s="117"/>
      <x:c r="T47" s="117"/>
      <x:c r="U47" s="117"/>
      <x:c r="V47" s="117"/>
      <x:c r="W47" s="117"/>
      <x:c r="X47" s="117"/>
      <x:c r="Y47" s="117"/>
    </x:row>
    <x:row r="48">
      <x:c r="A48" s="117"/>
      <x:c r="B48" s="117"/>
      <x:c r="C48" s="117"/>
      <x:c r="D48" s="117"/>
      <x:c r="E48" s="117"/>
      <x:c r="F48" s="117"/>
      <x:c r="G48" s="117"/>
      <x:c r="H48" s="117"/>
      <x:c r="I48" s="117"/>
      <x:c r="J48" s="117"/>
      <x:c r="K48" s="117"/>
      <x:c r="L48" s="117"/>
      <x:c r="M48" s="117"/>
      <x:c r="N48" s="161"/>
      <x:c r="O48" s="117"/>
      <x:c r="P48" s="117"/>
      <x:c r="Q48" s="117"/>
      <x:c r="R48" s="117"/>
      <x:c r="S48" s="117"/>
      <x:c r="T48" s="117"/>
      <x:c r="U48" s="117"/>
      <x:c r="V48" s="117"/>
      <x:c r="W48" s="117"/>
      <x:c r="X48" s="117"/>
      <x:c r="Y48" s="117"/>
    </x:row>
    <x:row r="49">
      <x:c r="A49" s="117"/>
      <x:c r="B49" s="117"/>
      <x:c r="C49" s="117"/>
      <x:c r="D49" s="117"/>
      <x:c r="E49" s="117"/>
      <x:c r="F49" s="117"/>
      <x:c r="G49" s="117"/>
      <x:c r="H49" s="117"/>
      <x:c r="I49" s="117"/>
      <x:c r="J49" s="117"/>
      <x:c r="K49" s="117"/>
      <x:c r="L49" s="117"/>
      <x:c r="M49" s="117"/>
      <x:c r="N49" s="161"/>
      <x:c r="O49" s="117"/>
      <x:c r="P49" s="117"/>
      <x:c r="Q49" s="117"/>
      <x:c r="R49" s="117"/>
      <x:c r="S49" s="117"/>
      <x:c r="T49" s="117"/>
      <x:c r="U49" s="117"/>
      <x:c r="V49" s="117"/>
      <x:c r="W49" s="117"/>
      <x:c r="X49" s="117"/>
      <x:c r="Y49" s="117"/>
    </x:row>
    <x:row r="50">
      <x:c r="A50" s="117"/>
      <x:c r="B50" s="117"/>
      <x:c r="C50" s="117"/>
      <x:c r="D50" s="117"/>
      <x:c r="E50" s="117"/>
      <x:c r="F50" s="117"/>
      <x:c r="G50" s="117"/>
      <x:c r="H50" s="117"/>
      <x:c r="I50" s="117"/>
      <x:c r="J50" s="117"/>
      <x:c r="K50" s="117"/>
      <x:c r="L50" s="117"/>
      <x:c r="M50" s="117"/>
      <x:c r="N50" s="161"/>
      <x:c r="O50" s="117"/>
      <x:c r="P50" s="117"/>
      <x:c r="Q50" s="117"/>
      <x:c r="R50" s="117"/>
      <x:c r="S50" s="117"/>
      <x:c r="T50" s="117"/>
      <x:c r="U50" s="117"/>
      <x:c r="V50" s="117"/>
      <x:c r="W50" s="117"/>
      <x:c r="X50" s="117"/>
      <x:c r="Y50" s="117"/>
    </x:row>
    <x:row r="51">
      <x:c r="A51" s="117"/>
      <x:c r="B51" s="117"/>
      <x:c r="C51" s="117"/>
      <x:c r="D51" s="117"/>
      <x:c r="E51" s="117"/>
      <x:c r="F51" s="117"/>
      <x:c r="G51" s="117"/>
      <x:c r="H51" s="117"/>
      <x:c r="I51" s="117"/>
      <x:c r="J51" s="117"/>
      <x:c r="K51" s="117"/>
      <x:c r="L51" s="117"/>
      <x:c r="M51" s="117"/>
      <x:c r="N51" s="161"/>
      <x:c r="O51" s="117"/>
      <x:c r="P51" s="117"/>
      <x:c r="Q51" s="117"/>
      <x:c r="R51" s="117"/>
      <x:c r="S51" s="117"/>
      <x:c r="T51" s="117"/>
      <x:c r="U51" s="117"/>
      <x:c r="V51" s="117"/>
      <x:c r="W51" s="117"/>
      <x:c r="X51" s="117"/>
      <x:c r="Y51" s="117"/>
    </x:row>
    <x:row r="52">
      <x:c r="A52" s="117"/>
      <x:c r="B52" s="117"/>
      <x:c r="C52" s="117"/>
      <x:c r="D52" s="117"/>
      <x:c r="E52" s="117"/>
      <x:c r="F52" s="117"/>
      <x:c r="G52" s="117"/>
      <x:c r="H52" s="117"/>
      <x:c r="I52" s="117"/>
      <x:c r="J52" s="117"/>
      <x:c r="K52" s="117"/>
      <x:c r="L52" s="117"/>
      <x:c r="M52" s="117"/>
      <x:c r="N52" s="161"/>
      <x:c r="O52" s="117"/>
      <x:c r="P52" s="117"/>
      <x:c r="Q52" s="117"/>
      <x:c r="R52" s="117"/>
      <x:c r="S52" s="117"/>
      <x:c r="T52" s="117"/>
      <x:c r="U52" s="117"/>
      <x:c r="V52" s="117"/>
      <x:c r="W52" s="117"/>
      <x:c r="X52" s="117"/>
      <x:c r="Y52" s="117"/>
    </x:row>
    <x:row r="53">
      <x:c r="A53" s="117"/>
      <x:c r="B53" s="117"/>
      <x:c r="C53" s="117"/>
      <x:c r="D53" s="117"/>
      <x:c r="E53" s="117"/>
      <x:c r="F53" s="117"/>
      <x:c r="G53" s="117"/>
      <x:c r="H53" s="117"/>
      <x:c r="I53" s="117"/>
      <x:c r="J53" s="117"/>
      <x:c r="K53" s="117"/>
      <x:c r="L53" s="117"/>
      <x:c r="M53" s="117"/>
      <x:c r="N53" s="161"/>
      <x:c r="O53" s="117"/>
      <x:c r="P53" s="117"/>
      <x:c r="Q53" s="117"/>
      <x:c r="R53" s="117"/>
      <x:c r="S53" s="117"/>
      <x:c r="T53" s="117"/>
      <x:c r="U53" s="117"/>
      <x:c r="V53" s="117"/>
      <x:c r="W53" s="117"/>
      <x:c r="X53" s="117"/>
      <x:c r="Y53" s="117"/>
    </x:row>
    <x:row r="54">
      <x:c r="A54" s="117"/>
      <x:c r="B54" s="117"/>
      <x:c r="C54" s="117"/>
      <x:c r="D54" s="117"/>
      <x:c r="E54" s="117"/>
      <x:c r="F54" s="117"/>
      <x:c r="G54" s="117"/>
      <x:c r="H54" s="117"/>
      <x:c r="I54" s="117"/>
      <x:c r="J54" s="117"/>
      <x:c r="K54" s="117"/>
      <x:c r="L54" s="117"/>
      <x:c r="M54" s="117"/>
      <x:c r="N54" s="161"/>
      <x:c r="O54" s="117"/>
      <x:c r="P54" s="117"/>
      <x:c r="Q54" s="117"/>
      <x:c r="R54" s="117"/>
      <x:c r="S54" s="117"/>
      <x:c r="T54" s="117"/>
      <x:c r="U54" s="117"/>
      <x:c r="V54" s="117"/>
      <x:c r="W54" s="117"/>
      <x:c r="X54" s="117"/>
      <x:c r="Y54" s="117"/>
    </x:row>
    <x:row r="55">
      <x:c r="A55" s="117"/>
      <x:c r="B55" s="117"/>
      <x:c r="C55" s="117"/>
      <x:c r="D55" s="117"/>
      <x:c r="E55" s="117"/>
      <x:c r="F55" s="117"/>
      <x:c r="G55" s="117"/>
      <x:c r="H55" s="117"/>
      <x:c r="I55" s="117"/>
      <x:c r="J55" s="117"/>
      <x:c r="K55" s="117"/>
      <x:c r="L55" s="117"/>
      <x:c r="M55" s="117"/>
      <x:c r="N55" s="161"/>
      <x:c r="O55" s="117"/>
      <x:c r="P55" s="117"/>
      <x:c r="Q55" s="117"/>
      <x:c r="R55" s="117"/>
      <x:c r="S55" s="117"/>
      <x:c r="T55" s="117"/>
      <x:c r="U55" s="117"/>
      <x:c r="V55" s="117"/>
      <x:c r="W55" s="117"/>
      <x:c r="X55" s="117"/>
      <x:c r="Y55" s="117"/>
    </x:row>
    <x:row r="56">
      <x:c r="A56" s="117"/>
      <x:c r="B56" s="117"/>
      <x:c r="C56" s="117"/>
      <x:c r="D56" s="117"/>
      <x:c r="E56" s="117"/>
      <x:c r="F56" s="117"/>
      <x:c r="G56" s="117"/>
      <x:c r="H56" s="117"/>
      <x:c r="I56" s="117"/>
      <x:c r="J56" s="117"/>
      <x:c r="K56" s="117"/>
      <x:c r="L56" s="117"/>
      <x:c r="M56" s="117"/>
      <x:c r="N56" s="161"/>
      <x:c r="O56" s="117"/>
      <x:c r="P56" s="117"/>
      <x:c r="Q56" s="117"/>
      <x:c r="R56" s="117"/>
      <x:c r="S56" s="117"/>
      <x:c r="T56" s="117"/>
      <x:c r="U56" s="117"/>
      <x:c r="V56" s="117"/>
      <x:c r="W56" s="117"/>
      <x:c r="X56" s="117"/>
      <x:c r="Y56" s="117"/>
    </x:row>
    <x:row r="57">
      <x:c r="A57" s="117"/>
      <x:c r="B57" s="117"/>
      <x:c r="C57" s="117"/>
      <x:c r="D57" s="117"/>
      <x:c r="E57" s="117"/>
      <x:c r="F57" s="117"/>
      <x:c r="G57" s="117"/>
      <x:c r="H57" s="117"/>
      <x:c r="I57" s="117"/>
      <x:c r="J57" s="117"/>
      <x:c r="K57" s="117"/>
      <x:c r="L57" s="117"/>
      <x:c r="M57" s="117"/>
      <x:c r="N57" s="161"/>
      <x:c r="O57" s="117"/>
      <x:c r="P57" s="117"/>
      <x:c r="Q57" s="117"/>
      <x:c r="R57" s="117"/>
      <x:c r="S57" s="117"/>
      <x:c r="T57" s="117"/>
      <x:c r="U57" s="117"/>
      <x:c r="V57" s="117"/>
      <x:c r="W57" s="117"/>
      <x:c r="X57" s="117"/>
      <x:c r="Y57" s="117"/>
    </x:row>
    <x:row r="58">
      <x:c r="A58" s="117"/>
      <x:c r="B58" s="117"/>
      <x:c r="C58" s="117"/>
      <x:c r="D58" s="117"/>
      <x:c r="E58" s="117"/>
      <x:c r="F58" s="117"/>
      <x:c r="G58" s="117"/>
      <x:c r="H58" s="117"/>
      <x:c r="I58" s="117"/>
      <x:c r="J58" s="117"/>
      <x:c r="K58" s="117"/>
      <x:c r="L58" s="117"/>
      <x:c r="M58" s="117"/>
      <x:c r="N58" s="161"/>
      <x:c r="O58" s="117"/>
      <x:c r="P58" s="117"/>
      <x:c r="Q58" s="117"/>
      <x:c r="R58" s="117"/>
      <x:c r="S58" s="117"/>
      <x:c r="T58" s="117"/>
      <x:c r="U58" s="117"/>
      <x:c r="V58" s="117"/>
      <x:c r="W58" s="117"/>
      <x:c r="X58" s="117"/>
      <x:c r="Y58" s="117"/>
    </x:row>
    <x:row r="59">
      <x:c r="A59" s="117"/>
      <x:c r="B59" s="117"/>
      <x:c r="C59" s="117"/>
      <x:c r="D59" s="117"/>
      <x:c r="E59" s="117"/>
      <x:c r="F59" s="117"/>
      <x:c r="G59" s="117"/>
      <x:c r="H59" s="117"/>
      <x:c r="I59" s="117"/>
      <x:c r="J59" s="117"/>
      <x:c r="K59" s="117"/>
      <x:c r="L59" s="117"/>
      <x:c r="M59" s="117"/>
      <x:c r="N59" s="161"/>
      <x:c r="O59" s="117"/>
      <x:c r="P59" s="117"/>
      <x:c r="Q59" s="117"/>
      <x:c r="R59" s="117"/>
      <x:c r="S59" s="117"/>
      <x:c r="T59" s="117"/>
      <x:c r="U59" s="117"/>
      <x:c r="V59" s="117"/>
      <x:c r="W59" s="117"/>
      <x:c r="X59" s="117"/>
      <x:c r="Y59" s="117"/>
    </x:row>
    <x:row r="60">
      <x:c r="A60" s="117"/>
      <x:c r="B60" s="117"/>
      <x:c r="C60" s="117"/>
      <x:c r="D60" s="117"/>
      <x:c r="E60" s="117"/>
      <x:c r="F60" s="117"/>
      <x:c r="G60" s="117"/>
      <x:c r="H60" s="117"/>
      <x:c r="I60" s="117"/>
      <x:c r="J60" s="117"/>
      <x:c r="K60" s="117"/>
      <x:c r="L60" s="117"/>
      <x:c r="M60" s="117"/>
      <x:c r="N60" s="161"/>
      <x:c r="O60" s="117"/>
      <x:c r="P60" s="117"/>
      <x:c r="Q60" s="117"/>
      <x:c r="R60" s="117"/>
      <x:c r="S60" s="117"/>
      <x:c r="T60" s="117"/>
      <x:c r="U60" s="117"/>
      <x:c r="V60" s="117"/>
      <x:c r="W60" s="117"/>
      <x:c r="X60" s="117"/>
      <x:c r="Y60" s="117"/>
    </x:row>
    <x:row r="61">
      <x:c r="A61" s="117"/>
      <x:c r="B61" s="117"/>
      <x:c r="C61" s="117"/>
      <x:c r="D61" s="117"/>
      <x:c r="E61" s="117"/>
      <x:c r="F61" s="117"/>
      <x:c r="G61" s="117"/>
      <x:c r="H61" s="117"/>
      <x:c r="I61" s="117"/>
      <x:c r="J61" s="117"/>
      <x:c r="K61" s="117"/>
      <x:c r="L61" s="117"/>
      <x:c r="M61" s="117"/>
      <x:c r="N61" s="161"/>
      <x:c r="O61" s="117"/>
      <x:c r="P61" s="117"/>
      <x:c r="Q61" s="117"/>
      <x:c r="R61" s="117"/>
      <x:c r="S61" s="117"/>
      <x:c r="T61" s="117"/>
      <x:c r="U61" s="117"/>
      <x:c r="V61" s="117"/>
      <x:c r="W61" s="117"/>
      <x:c r="X61" s="117"/>
      <x:c r="Y61" s="117"/>
    </x:row>
    <x:row r="62">
      <x:c r="A62" s="117"/>
      <x:c r="B62" s="117"/>
      <x:c r="C62" s="117"/>
      <x:c r="D62" s="117"/>
      <x:c r="E62" s="117"/>
      <x:c r="F62" s="117"/>
      <x:c r="G62" s="117"/>
      <x:c r="H62" s="117"/>
      <x:c r="I62" s="117"/>
      <x:c r="J62" s="117"/>
      <x:c r="K62" s="117"/>
      <x:c r="L62" s="117"/>
      <x:c r="M62" s="117"/>
      <x:c r="N62" s="161"/>
      <x:c r="O62" s="117"/>
      <x:c r="P62" s="117"/>
      <x:c r="Q62" s="117"/>
      <x:c r="R62" s="117"/>
      <x:c r="S62" s="117"/>
      <x:c r="T62" s="117"/>
      <x:c r="U62" s="117"/>
      <x:c r="V62" s="117"/>
      <x:c r="W62" s="117"/>
      <x:c r="X62" s="117"/>
      <x:c r="Y62" s="117"/>
    </x:row>
    <x:row r="63">
      <x:c r="A63" s="117"/>
      <x:c r="B63" s="117"/>
      <x:c r="C63" s="117"/>
      <x:c r="D63" s="117"/>
      <x:c r="E63" s="117"/>
      <x:c r="F63" s="117"/>
      <x:c r="G63" s="117"/>
      <x:c r="H63" s="117"/>
      <x:c r="I63" s="117"/>
      <x:c r="J63" s="117"/>
      <x:c r="K63" s="117"/>
      <x:c r="L63" s="117"/>
      <x:c r="M63" s="117"/>
      <x:c r="N63" s="161"/>
      <x:c r="O63" s="117"/>
      <x:c r="P63" s="117"/>
      <x:c r="Q63" s="117"/>
      <x:c r="R63" s="117"/>
      <x:c r="S63" s="117"/>
      <x:c r="T63" s="117"/>
      <x:c r="U63" s="117"/>
      <x:c r="V63" s="117"/>
      <x:c r="W63" s="117"/>
      <x:c r="X63" s="117"/>
      <x:c r="Y63" s="117"/>
    </x:row>
    <x:row r="64">
      <x:c r="A64" s="117"/>
      <x:c r="B64" s="117"/>
      <x:c r="C64" s="117"/>
      <x:c r="D64" s="117"/>
      <x:c r="E64" s="117"/>
      <x:c r="F64" s="117"/>
      <x:c r="G64" s="117"/>
      <x:c r="H64" s="117"/>
      <x:c r="I64" s="117"/>
      <x:c r="J64" s="117"/>
      <x:c r="K64" s="117"/>
      <x:c r="L64" s="117"/>
      <x:c r="M64" s="117"/>
      <x:c r="N64" s="161"/>
      <x:c r="O64" s="117"/>
      <x:c r="P64" s="117"/>
      <x:c r="Q64" s="117"/>
      <x:c r="R64" s="117"/>
      <x:c r="S64" s="117"/>
      <x:c r="T64" s="117"/>
      <x:c r="U64" s="117"/>
      <x:c r="V64" s="117"/>
      <x:c r="W64" s="117"/>
      <x:c r="X64" s="117"/>
      <x:c r="Y64" s="117"/>
    </x:row>
    <x:row r="65">
      <x:c r="A65" s="117"/>
      <x:c r="B65" s="117"/>
      <x:c r="C65" s="117"/>
      <x:c r="D65" s="117"/>
      <x:c r="E65" s="117"/>
      <x:c r="F65" s="117"/>
      <x:c r="G65" s="117"/>
      <x:c r="H65" s="117"/>
      <x:c r="I65" s="117"/>
      <x:c r="J65" s="117"/>
      <x:c r="K65" s="117"/>
      <x:c r="L65" s="117"/>
      <x:c r="M65" s="117"/>
      <x:c r="N65" s="161"/>
      <x:c r="O65" s="117"/>
      <x:c r="P65" s="117"/>
      <x:c r="Q65" s="117"/>
      <x:c r="R65" s="117"/>
      <x:c r="S65" s="117"/>
      <x:c r="T65" s="117"/>
      <x:c r="U65" s="117"/>
      <x:c r="V65" s="117"/>
      <x:c r="W65" s="117"/>
      <x:c r="X65" s="117"/>
      <x:c r="Y65" s="117"/>
    </x:row>
    <x:row r="66">
      <x:c r="A66" s="117"/>
      <x:c r="B66" s="117"/>
      <x:c r="C66" s="117"/>
      <x:c r="D66" s="117"/>
      <x:c r="E66" s="117"/>
      <x:c r="F66" s="117"/>
      <x:c r="G66" s="117"/>
      <x:c r="H66" s="117"/>
      <x:c r="I66" s="117"/>
      <x:c r="J66" s="117"/>
      <x:c r="K66" s="117"/>
      <x:c r="L66" s="117"/>
      <x:c r="M66" s="117"/>
      <x:c r="N66" s="161"/>
      <x:c r="O66" s="117"/>
      <x:c r="P66" s="117"/>
      <x:c r="Q66" s="117"/>
      <x:c r="R66" s="117"/>
      <x:c r="S66" s="117"/>
      <x:c r="T66" s="117"/>
      <x:c r="U66" s="117"/>
      <x:c r="V66" s="117"/>
      <x:c r="W66" s="117"/>
      <x:c r="X66" s="117"/>
      <x:c r="Y66" s="117"/>
    </x:row>
    <x:row r="67">
      <x:c r="A67" s="117"/>
      <x:c r="B67" s="117"/>
      <x:c r="C67" s="117"/>
      <x:c r="D67" s="117"/>
      <x:c r="E67" s="117"/>
      <x:c r="F67" s="117"/>
      <x:c r="G67" s="117"/>
      <x:c r="H67" s="117"/>
      <x:c r="I67" s="117"/>
      <x:c r="J67" s="117"/>
      <x:c r="K67" s="117"/>
      <x:c r="L67" s="117"/>
      <x:c r="M67" s="117"/>
      <x:c r="N67" s="161"/>
      <x:c r="O67" s="117"/>
      <x:c r="P67" s="117"/>
      <x:c r="Q67" s="117"/>
      <x:c r="R67" s="117"/>
      <x:c r="S67" s="117"/>
      <x:c r="T67" s="117"/>
      <x:c r="U67" s="117"/>
      <x:c r="V67" s="117"/>
      <x:c r="W67" s="117"/>
      <x:c r="X67" s="117"/>
      <x:c r="Y67" s="117"/>
    </x:row>
    <x:row r="68">
      <x:c r="A68" s="117"/>
      <x:c r="B68" s="117"/>
      <x:c r="C68" s="117"/>
      <x:c r="D68" s="117"/>
      <x:c r="E68" s="117"/>
      <x:c r="F68" s="117"/>
      <x:c r="G68" s="117"/>
      <x:c r="H68" s="117"/>
      <x:c r="I68" s="117"/>
      <x:c r="J68" s="117"/>
      <x:c r="K68" s="117"/>
      <x:c r="L68" s="117"/>
      <x:c r="M68" s="117"/>
      <x:c r="N68" s="161"/>
      <x:c r="O68" s="117"/>
      <x:c r="P68" s="117"/>
      <x:c r="Q68" s="117"/>
      <x:c r="R68" s="117"/>
      <x:c r="S68" s="117"/>
      <x:c r="T68" s="117"/>
      <x:c r="U68" s="117"/>
      <x:c r="V68" s="117"/>
      <x:c r="W68" s="117"/>
      <x:c r="X68" s="117"/>
      <x:c r="Y68" s="117"/>
    </x:row>
    <x:row r="69">
      <x:c r="A69" s="117"/>
      <x:c r="B69" s="117"/>
      <x:c r="C69" s="117"/>
      <x:c r="D69" s="117"/>
      <x:c r="E69" s="117"/>
      <x:c r="F69" s="117"/>
      <x:c r="G69" s="117"/>
      <x:c r="H69" s="117"/>
      <x:c r="I69" s="117"/>
      <x:c r="J69" s="117"/>
      <x:c r="K69" s="117"/>
      <x:c r="L69" s="117"/>
      <x:c r="M69" s="117"/>
      <x:c r="N69" s="161"/>
      <x:c r="O69" s="117"/>
      <x:c r="P69" s="117"/>
      <x:c r="Q69" s="117"/>
      <x:c r="R69" s="117"/>
      <x:c r="S69" s="117"/>
      <x:c r="T69" s="117"/>
      <x:c r="U69" s="117"/>
      <x:c r="V69" s="117"/>
      <x:c r="W69" s="117"/>
      <x:c r="X69" s="117"/>
      <x:c r="Y69" s="117"/>
    </x:row>
    <x:row r="70">
      <x:c r="A70" s="117"/>
      <x:c r="B70" s="117"/>
      <x:c r="C70" s="117"/>
      <x:c r="D70" s="117"/>
      <x:c r="E70" s="117"/>
      <x:c r="F70" s="117"/>
      <x:c r="G70" s="117"/>
      <x:c r="H70" s="117"/>
      <x:c r="I70" s="117"/>
      <x:c r="J70" s="117"/>
      <x:c r="K70" s="117"/>
      <x:c r="L70" s="117"/>
      <x:c r="M70" s="117"/>
      <x:c r="N70" s="161"/>
      <x:c r="O70" s="117"/>
      <x:c r="P70" s="117"/>
      <x:c r="Q70" s="117"/>
      <x:c r="R70" s="117"/>
      <x:c r="S70" s="117"/>
      <x:c r="T70" s="117"/>
      <x:c r="U70" s="117"/>
      <x:c r="V70" s="117"/>
      <x:c r="W70" s="117"/>
      <x:c r="X70" s="117"/>
      <x:c r="Y70" s="117"/>
    </x:row>
    <x:row r="71">
      <x:c r="A71" s="117"/>
      <x:c r="B71" s="117"/>
      <x:c r="C71" s="117"/>
      <x:c r="D71" s="117"/>
      <x:c r="E71" s="117"/>
      <x:c r="F71" s="117"/>
      <x:c r="G71" s="117"/>
      <x:c r="H71" s="117"/>
      <x:c r="I71" s="117"/>
      <x:c r="J71" s="117"/>
      <x:c r="K71" s="117"/>
      <x:c r="L71" s="117"/>
      <x:c r="M71" s="117"/>
      <x:c r="N71" s="161"/>
      <x:c r="O71" s="117"/>
      <x:c r="P71" s="117"/>
      <x:c r="Q71" s="117"/>
      <x:c r="R71" s="117"/>
      <x:c r="S71" s="117"/>
      <x:c r="T71" s="117"/>
      <x:c r="U71" s="117"/>
      <x:c r="V71" s="117"/>
      <x:c r="W71" s="117"/>
      <x:c r="X71" s="117"/>
      <x:c r="Y71" s="117"/>
    </x:row>
    <x:row r="72">
      <x:c r="A72" s="117"/>
      <x:c r="B72" s="117"/>
      <x:c r="C72" s="117"/>
      <x:c r="D72" s="117"/>
      <x:c r="E72" s="117"/>
      <x:c r="F72" s="117"/>
      <x:c r="G72" s="117"/>
      <x:c r="H72" s="117"/>
      <x:c r="I72" s="117"/>
      <x:c r="J72" s="117"/>
      <x:c r="K72" s="117"/>
      <x:c r="L72" s="117"/>
      <x:c r="M72" s="117"/>
      <x:c r="N72" s="161"/>
      <x:c r="O72" s="117"/>
      <x:c r="P72" s="117"/>
      <x:c r="Q72" s="117"/>
      <x:c r="R72" s="117"/>
      <x:c r="S72" s="117"/>
      <x:c r="T72" s="117"/>
      <x:c r="U72" s="117"/>
      <x:c r="V72" s="117"/>
      <x:c r="W72" s="117"/>
      <x:c r="X72" s="117"/>
      <x:c r="Y72" s="117"/>
    </x:row>
    <x:row r="73">
      <x:c r="A73" s="117"/>
      <x:c r="B73" s="117"/>
      <x:c r="C73" s="117"/>
      <x:c r="D73" s="117"/>
      <x:c r="E73" s="117"/>
      <x:c r="F73" s="117"/>
      <x:c r="G73" s="117"/>
      <x:c r="H73" s="117"/>
      <x:c r="I73" s="117"/>
      <x:c r="J73" s="117"/>
      <x:c r="K73" s="117"/>
      <x:c r="L73" s="117"/>
      <x:c r="M73" s="117"/>
      <x:c r="N73" s="161"/>
      <x:c r="O73" s="117"/>
      <x:c r="P73" s="117"/>
      <x:c r="Q73" s="117"/>
      <x:c r="R73" s="117"/>
      <x:c r="S73" s="117"/>
      <x:c r="T73" s="117"/>
      <x:c r="U73" s="117"/>
      <x:c r="V73" s="117"/>
      <x:c r="W73" s="117"/>
      <x:c r="X73" s="117"/>
      <x:c r="Y73" s="117"/>
    </x:row>
    <x:row r="74">
      <x:c r="A74" s="117"/>
      <x:c r="B74" s="117"/>
      <x:c r="C74" s="117"/>
      <x:c r="D74" s="117"/>
      <x:c r="E74" s="117"/>
      <x:c r="F74" s="117"/>
      <x:c r="G74" s="117"/>
      <x:c r="H74" s="117"/>
      <x:c r="I74" s="117"/>
      <x:c r="J74" s="117"/>
      <x:c r="K74" s="117"/>
      <x:c r="L74" s="117"/>
      <x:c r="M74" s="117"/>
      <x:c r="N74" s="161"/>
      <x:c r="O74" s="117"/>
      <x:c r="P74" s="117"/>
      <x:c r="Q74" s="117"/>
      <x:c r="R74" s="117"/>
      <x:c r="S74" s="117"/>
      <x:c r="T74" s="117"/>
      <x:c r="U74" s="117"/>
      <x:c r="V74" s="117"/>
      <x:c r="W74" s="117"/>
      <x:c r="X74" s="117"/>
      <x:c r="Y74" s="117"/>
    </x:row>
    <x:row r="75">
      <x:c r="A75" s="117"/>
      <x:c r="B75" s="117"/>
      <x:c r="C75" s="117"/>
      <x:c r="D75" s="117"/>
      <x:c r="E75" s="117"/>
      <x:c r="F75" s="117"/>
      <x:c r="G75" s="117"/>
      <x:c r="H75" s="117"/>
      <x:c r="I75" s="117"/>
      <x:c r="J75" s="117"/>
      <x:c r="K75" s="117"/>
      <x:c r="L75" s="117"/>
      <x:c r="M75" s="117"/>
      <x:c r="N75" s="161"/>
      <x:c r="O75" s="117"/>
      <x:c r="P75" s="117"/>
      <x:c r="Q75" s="117"/>
      <x:c r="R75" s="117"/>
      <x:c r="S75" s="117"/>
      <x:c r="T75" s="117"/>
      <x:c r="U75" s="117"/>
      <x:c r="V75" s="117"/>
      <x:c r="W75" s="117"/>
      <x:c r="X75" s="117"/>
      <x:c r="Y75" s="117"/>
    </x:row>
    <x:row r="76">
      <x:c r="A76" s="117"/>
      <x:c r="B76" s="117"/>
      <x:c r="C76" s="117"/>
      <x:c r="D76" s="117"/>
      <x:c r="E76" s="117"/>
      <x:c r="F76" s="117"/>
      <x:c r="G76" s="117"/>
      <x:c r="H76" s="117"/>
      <x:c r="I76" s="117"/>
      <x:c r="J76" s="117"/>
      <x:c r="K76" s="117"/>
      <x:c r="L76" s="117"/>
      <x:c r="M76" s="117"/>
      <x:c r="N76" s="161"/>
      <x:c r="O76" s="117"/>
      <x:c r="P76" s="117"/>
      <x:c r="Q76" s="117"/>
      <x:c r="R76" s="117"/>
      <x:c r="S76" s="117"/>
      <x:c r="T76" s="117"/>
      <x:c r="U76" s="117"/>
      <x:c r="V76" s="117"/>
      <x:c r="W76" s="117"/>
      <x:c r="X76" s="117"/>
      <x:c r="Y76" s="117"/>
    </x:row>
    <x:row r="77">
      <x:c r="A77" s="117"/>
      <x:c r="B77" s="117"/>
      <x:c r="C77" s="117"/>
      <x:c r="D77" s="117"/>
      <x:c r="E77" s="117"/>
      <x:c r="F77" s="117"/>
      <x:c r="G77" s="117"/>
      <x:c r="H77" s="117"/>
      <x:c r="I77" s="117"/>
      <x:c r="J77" s="117"/>
      <x:c r="K77" s="117"/>
      <x:c r="L77" s="117"/>
      <x:c r="M77" s="117"/>
      <x:c r="N77" s="161"/>
      <x:c r="O77" s="117"/>
      <x:c r="P77" s="117"/>
      <x:c r="Q77" s="117"/>
      <x:c r="R77" s="117"/>
      <x:c r="S77" s="117"/>
      <x:c r="T77" s="117"/>
      <x:c r="U77" s="117"/>
      <x:c r="V77" s="117"/>
      <x:c r="W77" s="117"/>
      <x:c r="X77" s="117"/>
      <x:c r="Y77" s="117"/>
    </x:row>
    <x:row r="78">
      <x:c r="A78" s="117"/>
      <x:c r="B78" s="117"/>
      <x:c r="C78" s="117"/>
      <x:c r="D78" s="117"/>
      <x:c r="E78" s="117"/>
      <x:c r="F78" s="117"/>
      <x:c r="G78" s="117"/>
      <x:c r="H78" s="117"/>
      <x:c r="I78" s="117"/>
      <x:c r="J78" s="117"/>
      <x:c r="K78" s="117"/>
      <x:c r="L78" s="117"/>
      <x:c r="M78" s="117"/>
      <x:c r="N78" s="161"/>
      <x:c r="O78" s="117"/>
      <x:c r="P78" s="117"/>
      <x:c r="Q78" s="117"/>
      <x:c r="R78" s="117"/>
      <x:c r="S78" s="117"/>
      <x:c r="T78" s="117"/>
      <x:c r="U78" s="117"/>
      <x:c r="V78" s="117"/>
      <x:c r="W78" s="117"/>
      <x:c r="X78" s="117"/>
      <x:c r="Y78" s="117"/>
    </x:row>
    <x:row r="79">
      <x:c r="A79" s="117"/>
      <x:c r="B79" s="117"/>
      <x:c r="C79" s="117"/>
      <x:c r="D79" s="117"/>
      <x:c r="E79" s="117"/>
      <x:c r="F79" s="117"/>
      <x:c r="G79" s="117"/>
      <x:c r="H79" s="117"/>
      <x:c r="I79" s="117"/>
      <x:c r="J79" s="117"/>
      <x:c r="K79" s="117"/>
      <x:c r="L79" s="117"/>
      <x:c r="M79" s="117"/>
      <x:c r="N79" s="161"/>
      <x:c r="O79" s="117"/>
      <x:c r="P79" s="117"/>
      <x:c r="Q79" s="117"/>
      <x:c r="R79" s="117"/>
      <x:c r="S79" s="117"/>
      <x:c r="T79" s="117"/>
      <x:c r="U79" s="117"/>
      <x:c r="V79" s="117"/>
      <x:c r="W79" s="117"/>
      <x:c r="X79" s="117"/>
      <x:c r="Y79" s="117"/>
    </x:row>
    <x:row r="80">
      <x:c r="A80" s="117"/>
      <x:c r="B80" s="117"/>
      <x:c r="C80" s="117"/>
      <x:c r="D80" s="117"/>
      <x:c r="E80" s="117"/>
      <x:c r="F80" s="117"/>
      <x:c r="G80" s="117"/>
      <x:c r="H80" s="117"/>
      <x:c r="I80" s="117"/>
      <x:c r="J80" s="117"/>
      <x:c r="K80" s="117"/>
      <x:c r="L80" s="117"/>
      <x:c r="M80" s="117"/>
      <x:c r="N80" s="161"/>
      <x:c r="O80" s="117"/>
      <x:c r="P80" s="117"/>
      <x:c r="Q80" s="117"/>
      <x:c r="R80" s="117"/>
      <x:c r="S80" s="117"/>
      <x:c r="T80" s="117"/>
      <x:c r="U80" s="117"/>
      <x:c r="V80" s="117"/>
      <x:c r="W80" s="117"/>
      <x:c r="X80" s="117"/>
      <x:c r="Y80" s="117"/>
    </x:row>
    <x:row r="81">
      <x:c r="A81" s="117"/>
      <x:c r="B81" s="117"/>
      <x:c r="C81" s="117"/>
      <x:c r="D81" s="117"/>
      <x:c r="E81" s="117"/>
      <x:c r="F81" s="117"/>
      <x:c r="G81" s="117"/>
      <x:c r="H81" s="117"/>
      <x:c r="I81" s="117"/>
      <x:c r="J81" s="117"/>
      <x:c r="K81" s="117"/>
      <x:c r="L81" s="117"/>
      <x:c r="M81" s="117"/>
      <x:c r="N81" s="161"/>
      <x:c r="O81" s="117"/>
      <x:c r="P81" s="117"/>
      <x:c r="Q81" s="117"/>
      <x:c r="R81" s="117"/>
      <x:c r="S81" s="117"/>
      <x:c r="T81" s="117"/>
      <x:c r="U81" s="117"/>
      <x:c r="V81" s="117"/>
      <x:c r="W81" s="117"/>
      <x:c r="X81" s="117"/>
      <x:c r="Y81" s="117"/>
    </x:row>
    <x:row r="82">
      <x:c r="A82" s="117"/>
      <x:c r="B82" s="117"/>
      <x:c r="C82" s="117"/>
      <x:c r="D82" s="117"/>
      <x:c r="E82" s="117"/>
      <x:c r="F82" s="117"/>
      <x:c r="G82" s="117"/>
      <x:c r="H82" s="117"/>
      <x:c r="I82" s="117"/>
      <x:c r="J82" s="117"/>
      <x:c r="K82" s="117"/>
      <x:c r="L82" s="117"/>
      <x:c r="M82" s="117"/>
      <x:c r="N82" s="161"/>
      <x:c r="O82" s="117"/>
      <x:c r="P82" s="117"/>
      <x:c r="Q82" s="117"/>
      <x:c r="R82" s="117"/>
      <x:c r="S82" s="117"/>
      <x:c r="T82" s="117"/>
      <x:c r="U82" s="117"/>
      <x:c r="V82" s="117"/>
      <x:c r="W82" s="117"/>
      <x:c r="X82" s="117"/>
      <x:c r="Y82" s="117"/>
    </x:row>
    <x:row r="83">
      <x:c r="A83" s="117"/>
      <x:c r="B83" s="117"/>
      <x:c r="C83" s="117"/>
      <x:c r="D83" s="117"/>
      <x:c r="E83" s="117"/>
      <x:c r="F83" s="117"/>
      <x:c r="G83" s="117"/>
      <x:c r="H83" s="117"/>
      <x:c r="I83" s="117"/>
      <x:c r="J83" s="117"/>
      <x:c r="K83" s="117"/>
      <x:c r="L83" s="117"/>
      <x:c r="M83" s="117"/>
      <x:c r="N83" s="161"/>
      <x:c r="O83" s="117"/>
      <x:c r="P83" s="117"/>
      <x:c r="Q83" s="117"/>
      <x:c r="R83" s="117"/>
      <x:c r="S83" s="117"/>
      <x:c r="T83" s="117"/>
      <x:c r="U83" s="117"/>
      <x:c r="V83" s="117"/>
      <x:c r="W83" s="117"/>
      <x:c r="X83" s="117"/>
      <x:c r="Y83" s="117"/>
    </x:row>
    <x:row r="84">
      <x:c r="A84" s="117"/>
      <x:c r="B84" s="117"/>
      <x:c r="C84" s="117"/>
      <x:c r="D84" s="117"/>
      <x:c r="E84" s="117"/>
      <x:c r="F84" s="117"/>
      <x:c r="G84" s="117"/>
      <x:c r="H84" s="117"/>
      <x:c r="I84" s="117"/>
      <x:c r="J84" s="117"/>
      <x:c r="K84" s="117"/>
      <x:c r="L84" s="117"/>
      <x:c r="M84" s="117"/>
      <x:c r="N84" s="161"/>
      <x:c r="O84" s="117"/>
      <x:c r="P84" s="117"/>
      <x:c r="Q84" s="117"/>
      <x:c r="R84" s="117"/>
      <x:c r="S84" s="117"/>
      <x:c r="T84" s="117"/>
      <x:c r="U84" s="117"/>
      <x:c r="V84" s="117"/>
      <x:c r="W84" s="117"/>
      <x:c r="X84" s="117"/>
      <x:c r="Y84" s="117"/>
    </x:row>
    <x:row r="85">
      <x:c r="A85" s="117"/>
      <x:c r="B85" s="117"/>
      <x:c r="C85" s="117"/>
      <x:c r="D85" s="117"/>
      <x:c r="E85" s="117"/>
      <x:c r="F85" s="117"/>
      <x:c r="G85" s="117"/>
      <x:c r="H85" s="117"/>
      <x:c r="I85" s="117"/>
      <x:c r="J85" s="117"/>
      <x:c r="K85" s="117"/>
      <x:c r="L85" s="117"/>
      <x:c r="M85" s="117"/>
      <x:c r="N85" s="161"/>
      <x:c r="O85" s="117"/>
      <x:c r="P85" s="117"/>
      <x:c r="Q85" s="117"/>
      <x:c r="R85" s="117"/>
      <x:c r="S85" s="117"/>
      <x:c r="T85" s="117"/>
      <x:c r="U85" s="117"/>
      <x:c r="V85" s="117"/>
      <x:c r="W85" s="117"/>
      <x:c r="X85" s="117"/>
      <x:c r="Y85" s="117"/>
    </x:row>
    <x:row r="86">
      <x:c r="A86" s="117"/>
      <x:c r="B86" s="117"/>
      <x:c r="C86" s="117"/>
      <x:c r="D86" s="117"/>
      <x:c r="E86" s="117"/>
      <x:c r="F86" s="117"/>
      <x:c r="G86" s="117"/>
      <x:c r="H86" s="117"/>
      <x:c r="I86" s="117"/>
      <x:c r="J86" s="117"/>
      <x:c r="K86" s="117"/>
      <x:c r="L86" s="117"/>
      <x:c r="M86" s="117"/>
      <x:c r="N86" s="161"/>
      <x:c r="O86" s="117"/>
      <x:c r="P86" s="117"/>
      <x:c r="Q86" s="117"/>
      <x:c r="R86" s="117"/>
      <x:c r="S86" s="117"/>
      <x:c r="T86" s="117"/>
      <x:c r="U86" s="117"/>
      <x:c r="V86" s="117"/>
      <x:c r="W86" s="117"/>
      <x:c r="X86" s="117"/>
      <x:c r="Y86" s="117"/>
    </x:row>
    <x:row r="87">
      <x:c r="A87" s="117"/>
      <x:c r="B87" s="117"/>
      <x:c r="C87" s="117"/>
      <x:c r="D87" s="117"/>
      <x:c r="E87" s="117"/>
      <x:c r="F87" s="117"/>
      <x:c r="G87" s="117"/>
      <x:c r="H87" s="117"/>
      <x:c r="I87" s="117"/>
      <x:c r="J87" s="117"/>
      <x:c r="K87" s="117"/>
      <x:c r="L87" s="117"/>
      <x:c r="M87" s="117"/>
      <x:c r="N87" s="161"/>
      <x:c r="O87" s="117"/>
      <x:c r="P87" s="117"/>
      <x:c r="Q87" s="117"/>
      <x:c r="R87" s="117"/>
      <x:c r="S87" s="117"/>
      <x:c r="T87" s="117"/>
      <x:c r="U87" s="117"/>
      <x:c r="V87" s="117"/>
      <x:c r="W87" s="117"/>
      <x:c r="X87" s="117"/>
      <x:c r="Y87" s="117"/>
    </x:row>
    <x:row r="88">
      <x:c r="A88" s="117"/>
      <x:c r="B88" s="117"/>
      <x:c r="C88" s="117"/>
      <x:c r="D88" s="117"/>
      <x:c r="E88" s="117"/>
      <x:c r="F88" s="117"/>
      <x:c r="G88" s="117"/>
      <x:c r="H88" s="117"/>
      <x:c r="I88" s="117"/>
      <x:c r="J88" s="117"/>
      <x:c r="K88" s="117"/>
      <x:c r="L88" s="117"/>
      <x:c r="M88" s="117"/>
      <x:c r="N88" s="161"/>
      <x:c r="O88" s="117"/>
      <x:c r="P88" s="117"/>
      <x:c r="Q88" s="117"/>
      <x:c r="R88" s="117"/>
      <x:c r="S88" s="117"/>
      <x:c r="T88" s="117"/>
      <x:c r="U88" s="117"/>
      <x:c r="V88" s="117"/>
      <x:c r="W88" s="117"/>
      <x:c r="X88" s="117"/>
      <x:c r="Y88" s="117"/>
    </x:row>
    <x:row r="89">
      <x:c r="A89" s="117"/>
      <x:c r="B89" s="117"/>
      <x:c r="C89" s="117"/>
      <x:c r="D89" s="117"/>
      <x:c r="E89" s="117"/>
      <x:c r="F89" s="117"/>
      <x:c r="G89" s="117"/>
      <x:c r="H89" s="117"/>
      <x:c r="I89" s="117"/>
      <x:c r="J89" s="117"/>
      <x:c r="K89" s="117"/>
      <x:c r="L89" s="117"/>
      <x:c r="M89" s="117"/>
      <x:c r="N89" s="161"/>
      <x:c r="O89" s="117"/>
      <x:c r="P89" s="117"/>
      <x:c r="Q89" s="117"/>
      <x:c r="R89" s="117"/>
      <x:c r="S89" s="117"/>
      <x:c r="T89" s="117"/>
      <x:c r="U89" s="117"/>
      <x:c r="V89" s="117"/>
      <x:c r="W89" s="117"/>
      <x:c r="X89" s="117"/>
      <x:c r="Y89" s="117"/>
    </x:row>
    <x:row r="90">
      <x:c r="A90" s="117"/>
      <x:c r="B90" s="117"/>
      <x:c r="C90" s="117"/>
      <x:c r="D90" s="117"/>
      <x:c r="E90" s="117"/>
      <x:c r="F90" s="117"/>
      <x:c r="G90" s="117"/>
      <x:c r="H90" s="117"/>
      <x:c r="I90" s="117"/>
      <x:c r="J90" s="117"/>
      <x:c r="K90" s="117"/>
      <x:c r="L90" s="117"/>
      <x:c r="M90" s="117"/>
      <x:c r="N90" s="161"/>
      <x:c r="O90" s="117"/>
      <x:c r="P90" s="117"/>
      <x:c r="Q90" s="117"/>
      <x:c r="R90" s="117"/>
      <x:c r="S90" s="117"/>
      <x:c r="T90" s="117"/>
      <x:c r="U90" s="117"/>
      <x:c r="V90" s="117"/>
      <x:c r="W90" s="117"/>
      <x:c r="X90" s="117"/>
      <x:c r="Y90" s="117"/>
    </x:row>
    <x:row r="91">
      <x:c r="A91" s="117"/>
      <x:c r="B91" s="117"/>
      <x:c r="C91" s="117"/>
      <x:c r="D91" s="117"/>
      <x:c r="E91" s="117"/>
      <x:c r="F91" s="117"/>
      <x:c r="G91" s="117"/>
      <x:c r="H91" s="117"/>
      <x:c r="I91" s="117"/>
      <x:c r="J91" s="117"/>
      <x:c r="K91" s="117"/>
      <x:c r="L91" s="117"/>
      <x:c r="M91" s="117"/>
      <x:c r="N91" s="161"/>
      <x:c r="O91" s="117"/>
      <x:c r="P91" s="117"/>
      <x:c r="Q91" s="117"/>
      <x:c r="R91" s="117"/>
      <x:c r="S91" s="117"/>
      <x:c r="T91" s="117"/>
      <x:c r="U91" s="117"/>
      <x:c r="V91" s="117"/>
      <x:c r="W91" s="117"/>
      <x:c r="X91" s="117"/>
      <x:c r="Y91" s="117"/>
    </x:row>
    <x:row r="92">
      <x:c r="A92" s="117"/>
      <x:c r="B92" s="117"/>
      <x:c r="C92" s="117"/>
      <x:c r="D92" s="117"/>
      <x:c r="E92" s="117"/>
      <x:c r="F92" s="117"/>
      <x:c r="G92" s="117"/>
      <x:c r="H92" s="117"/>
      <x:c r="I92" s="117"/>
      <x:c r="J92" s="117"/>
      <x:c r="K92" s="117"/>
      <x:c r="L92" s="117"/>
      <x:c r="M92" s="117"/>
      <x:c r="N92" s="161"/>
      <x:c r="O92" s="117"/>
      <x:c r="P92" s="117"/>
      <x:c r="Q92" s="117"/>
      <x:c r="R92" s="117"/>
      <x:c r="S92" s="117"/>
      <x:c r="T92" s="117"/>
      <x:c r="U92" s="117"/>
      <x:c r="V92" s="117"/>
      <x:c r="W92" s="117"/>
      <x:c r="X92" s="117"/>
      <x:c r="Y92" s="117"/>
    </x:row>
    <x:row r="93">
      <x:c r="A93" s="117"/>
      <x:c r="B93" s="117"/>
      <x:c r="C93" s="117"/>
      <x:c r="D93" s="117"/>
      <x:c r="E93" s="117"/>
      <x:c r="F93" s="117"/>
      <x:c r="G93" s="117"/>
      <x:c r="H93" s="117"/>
      <x:c r="I93" s="117"/>
      <x:c r="J93" s="117"/>
      <x:c r="K93" s="117"/>
      <x:c r="L93" s="117"/>
      <x:c r="M93" s="117"/>
      <x:c r="N93" s="161"/>
      <x:c r="O93" s="117"/>
      <x:c r="P93" s="117"/>
      <x:c r="Q93" s="117"/>
      <x:c r="R93" s="117"/>
      <x:c r="S93" s="117"/>
      <x:c r="T93" s="117"/>
      <x:c r="U93" s="117"/>
      <x:c r="V93" s="117"/>
      <x:c r="W93" s="117"/>
      <x:c r="X93" s="117"/>
      <x:c r="Y93" s="117"/>
    </x:row>
    <x:row r="94">
      <x:c r="A94" s="117"/>
      <x:c r="B94" s="117"/>
      <x:c r="C94" s="117"/>
      <x:c r="D94" s="117"/>
      <x:c r="E94" s="117"/>
      <x:c r="F94" s="117"/>
      <x:c r="G94" s="117"/>
      <x:c r="H94" s="117"/>
      <x:c r="I94" s="117"/>
      <x:c r="J94" s="117"/>
      <x:c r="K94" s="117"/>
      <x:c r="L94" s="117"/>
      <x:c r="M94" s="117"/>
      <x:c r="N94" s="161"/>
      <x:c r="O94" s="117"/>
      <x:c r="P94" s="117"/>
      <x:c r="Q94" s="117"/>
      <x:c r="R94" s="117"/>
      <x:c r="S94" s="117"/>
      <x:c r="T94" s="117"/>
      <x:c r="U94" s="117"/>
      <x:c r="V94" s="117"/>
      <x:c r="W94" s="117"/>
      <x:c r="X94" s="117"/>
      <x:c r="Y94" s="117"/>
    </x:row>
    <x:row r="95">
      <x:c r="A95" s="117"/>
      <x:c r="B95" s="117"/>
      <x:c r="C95" s="117"/>
      <x:c r="D95" s="117"/>
      <x:c r="E95" s="117"/>
      <x:c r="F95" s="117"/>
      <x:c r="G95" s="117"/>
      <x:c r="H95" s="117"/>
      <x:c r="I95" s="117"/>
      <x:c r="J95" s="117"/>
      <x:c r="K95" s="117"/>
      <x:c r="L95" s="117"/>
      <x:c r="M95" s="117"/>
      <x:c r="N95" s="161"/>
      <x:c r="O95" s="117"/>
      <x:c r="P95" s="117"/>
      <x:c r="Q95" s="117"/>
      <x:c r="R95" s="117"/>
      <x:c r="S95" s="117"/>
      <x:c r="T95" s="117"/>
      <x:c r="U95" s="117"/>
      <x:c r="V95" s="117"/>
      <x:c r="W95" s="117"/>
      <x:c r="X95" s="117"/>
      <x:c r="Y95" s="117"/>
    </x:row>
    <x:row r="96">
      <x:c r="A96" s="117"/>
      <x:c r="B96" s="117"/>
      <x:c r="C96" s="117"/>
      <x:c r="D96" s="117"/>
      <x:c r="E96" s="117"/>
      <x:c r="F96" s="117"/>
      <x:c r="G96" s="117"/>
      <x:c r="H96" s="117"/>
      <x:c r="I96" s="117"/>
      <x:c r="J96" s="117"/>
      <x:c r="K96" s="117"/>
      <x:c r="L96" s="117"/>
      <x:c r="M96" s="117"/>
      <x:c r="N96" s="161"/>
      <x:c r="O96" s="117"/>
      <x:c r="P96" s="117"/>
      <x:c r="Q96" s="117"/>
      <x:c r="R96" s="117"/>
      <x:c r="S96" s="117"/>
      <x:c r="T96" s="117"/>
      <x:c r="U96" s="117"/>
      <x:c r="V96" s="117"/>
      <x:c r="W96" s="117"/>
      <x:c r="X96" s="117"/>
      <x:c r="Y96" s="117"/>
    </x:row>
    <x:row r="97">
      <x:c r="A97" s="117"/>
      <x:c r="B97" s="117"/>
      <x:c r="C97" s="117"/>
      <x:c r="D97" s="117"/>
      <x:c r="E97" s="117"/>
      <x:c r="F97" s="117"/>
      <x:c r="G97" s="117"/>
      <x:c r="H97" s="117"/>
      <x:c r="I97" s="117"/>
      <x:c r="J97" s="117"/>
      <x:c r="K97" s="117"/>
      <x:c r="L97" s="117"/>
      <x:c r="M97" s="117"/>
      <x:c r="N97" s="161"/>
      <x:c r="O97" s="117"/>
      <x:c r="P97" s="117"/>
      <x:c r="Q97" s="117"/>
      <x:c r="R97" s="117"/>
      <x:c r="S97" s="117"/>
      <x:c r="T97" s="117"/>
      <x:c r="U97" s="117"/>
      <x:c r="V97" s="117"/>
      <x:c r="W97" s="117"/>
      <x:c r="X97" s="117"/>
      <x:c r="Y97" s="117"/>
    </x:row>
    <x:row r="98">
      <x:c r="A98" s="117"/>
      <x:c r="B98" s="117"/>
      <x:c r="C98" s="117"/>
      <x:c r="D98" s="117"/>
      <x:c r="E98" s="117"/>
      <x:c r="F98" s="117"/>
      <x:c r="G98" s="117"/>
      <x:c r="H98" s="117"/>
      <x:c r="I98" s="117"/>
      <x:c r="J98" s="117"/>
      <x:c r="K98" s="117"/>
      <x:c r="L98" s="117"/>
      <x:c r="M98" s="117"/>
      <x:c r="N98" s="161"/>
      <x:c r="O98" s="117"/>
      <x:c r="P98" s="117"/>
      <x:c r="Q98" s="117"/>
      <x:c r="R98" s="117"/>
      <x:c r="S98" s="117"/>
      <x:c r="T98" s="117"/>
      <x:c r="U98" s="117"/>
      <x:c r="V98" s="117"/>
      <x:c r="W98" s="117"/>
      <x:c r="X98" s="117"/>
      <x:c r="Y98" s="117"/>
    </x:row>
    <x:row r="99">
      <x:c r="A99" s="117"/>
      <x:c r="B99" s="117"/>
      <x:c r="C99" s="117"/>
      <x:c r="D99" s="117"/>
      <x:c r="E99" s="117"/>
      <x:c r="F99" s="117"/>
      <x:c r="G99" s="117"/>
      <x:c r="H99" s="117"/>
      <x:c r="I99" s="117"/>
      <x:c r="J99" s="117"/>
      <x:c r="K99" s="117"/>
      <x:c r="L99" s="117"/>
      <x:c r="M99" s="117"/>
      <x:c r="N99" s="161"/>
      <x:c r="O99" s="117"/>
      <x:c r="P99" s="117"/>
      <x:c r="Q99" s="117"/>
      <x:c r="R99" s="117"/>
      <x:c r="S99" s="117"/>
      <x:c r="T99" s="117"/>
      <x:c r="U99" s="117"/>
      <x:c r="V99" s="117"/>
      <x:c r="W99" s="117"/>
      <x:c r="X99" s="117"/>
      <x:c r="Y99" s="117"/>
    </x:row>
    <x:row r="100">
      <x:c r="A100" s="117"/>
      <x:c r="B100" s="117"/>
      <x:c r="C100" s="117"/>
      <x:c r="D100" s="117"/>
      <x:c r="E100" s="117"/>
      <x:c r="F100" s="117"/>
      <x:c r="G100" s="117"/>
      <x:c r="H100" s="117"/>
      <x:c r="I100" s="117"/>
      <x:c r="J100" s="117"/>
      <x:c r="K100" s="117"/>
      <x:c r="L100" s="117"/>
      <x:c r="M100" s="117"/>
      <x:c r="N100" s="161"/>
      <x:c r="O100" s="117"/>
      <x:c r="P100" s="117"/>
      <x:c r="Q100" s="117"/>
      <x:c r="R100" s="117"/>
      <x:c r="S100" s="117"/>
      <x:c r="T100" s="117"/>
      <x:c r="U100" s="117"/>
      <x:c r="V100" s="117"/>
      <x:c r="W100" s="117"/>
      <x:c r="X100" s="117"/>
      <x:c r="Y100" s="117"/>
    </x:row>
    <x:row r="101">
      <x:c r="A101" s="117"/>
      <x:c r="B101" s="117"/>
      <x:c r="C101" s="117"/>
      <x:c r="D101" s="117"/>
      <x:c r="E101" s="117"/>
      <x:c r="F101" s="117"/>
      <x:c r="G101" s="117"/>
      <x:c r="H101" s="117"/>
      <x:c r="I101" s="117"/>
      <x:c r="J101" s="117"/>
      <x:c r="K101" s="117"/>
      <x:c r="L101" s="117"/>
      <x:c r="M101" s="117"/>
      <x:c r="N101" s="161"/>
      <x:c r="O101" s="117"/>
      <x:c r="P101" s="117"/>
      <x:c r="Q101" s="117"/>
      <x:c r="R101" s="117"/>
      <x:c r="S101" s="117"/>
      <x:c r="T101" s="117"/>
      <x:c r="U101" s="117"/>
      <x:c r="V101" s="117"/>
      <x:c r="W101" s="117"/>
      <x:c r="X101" s="117"/>
      <x:c r="Y101" s="117"/>
    </x:row>
    <x:row r="102">
      <x:c r="A102" s="117"/>
      <x:c r="B102" s="117"/>
      <x:c r="C102" s="117"/>
      <x:c r="D102" s="117"/>
      <x:c r="E102" s="117"/>
      <x:c r="F102" s="117"/>
      <x:c r="G102" s="117"/>
      <x:c r="H102" s="117"/>
      <x:c r="I102" s="117"/>
      <x:c r="J102" s="117"/>
      <x:c r="K102" s="117"/>
      <x:c r="L102" s="117"/>
      <x:c r="M102" s="117"/>
      <x:c r="N102" s="161"/>
      <x:c r="O102" s="117"/>
      <x:c r="P102" s="117"/>
      <x:c r="Q102" s="117"/>
      <x:c r="R102" s="117"/>
      <x:c r="S102" s="117"/>
      <x:c r="T102" s="117"/>
      <x:c r="U102" s="117"/>
      <x:c r="V102" s="117"/>
      <x:c r="W102" s="117"/>
      <x:c r="X102" s="117"/>
      <x:c r="Y102" s="117"/>
    </x:row>
    <x:row r="103">
      <x:c r="A103" s="117"/>
      <x:c r="B103" s="117"/>
      <x:c r="C103" s="117"/>
      <x:c r="D103" s="117"/>
      <x:c r="E103" s="117"/>
      <x:c r="F103" s="117"/>
      <x:c r="G103" s="117"/>
      <x:c r="H103" s="117"/>
      <x:c r="I103" s="117"/>
      <x:c r="J103" s="117"/>
      <x:c r="K103" s="117"/>
      <x:c r="L103" s="117"/>
      <x:c r="M103" s="117"/>
      <x:c r="N103" s="161"/>
      <x:c r="O103" s="117"/>
      <x:c r="P103" s="117"/>
      <x:c r="Q103" s="117"/>
      <x:c r="R103" s="117"/>
      <x:c r="S103" s="117"/>
      <x:c r="T103" s="117"/>
      <x:c r="U103" s="117"/>
      <x:c r="V103" s="117"/>
      <x:c r="W103" s="117"/>
      <x:c r="X103" s="117"/>
      <x:c r="Y103" s="117"/>
    </x:row>
    <x:row r="104">
      <x:c r="A104" s="117"/>
      <x:c r="B104" s="117"/>
      <x:c r="C104" s="117"/>
      <x:c r="D104" s="117"/>
      <x:c r="E104" s="117"/>
      <x:c r="F104" s="117"/>
      <x:c r="G104" s="117"/>
      <x:c r="H104" s="117"/>
      <x:c r="I104" s="117"/>
      <x:c r="J104" s="117"/>
      <x:c r="K104" s="117"/>
      <x:c r="L104" s="117"/>
      <x:c r="M104" s="117"/>
      <x:c r="N104" s="161"/>
      <x:c r="O104" s="117"/>
      <x:c r="P104" s="117"/>
      <x:c r="Q104" s="117"/>
      <x:c r="R104" s="117"/>
      <x:c r="S104" s="117"/>
      <x:c r="T104" s="117"/>
      <x:c r="U104" s="117"/>
      <x:c r="V104" s="117"/>
      <x:c r="W104" s="117"/>
      <x:c r="X104" s="117"/>
      <x:c r="Y104" s="117"/>
    </x:row>
    <x:row r="105">
      <x:c r="A105" s="117"/>
      <x:c r="B105" s="117"/>
      <x:c r="C105" s="117"/>
      <x:c r="D105" s="117"/>
      <x:c r="E105" s="117"/>
      <x:c r="F105" s="117"/>
      <x:c r="G105" s="117"/>
      <x:c r="H105" s="117"/>
      <x:c r="I105" s="117"/>
      <x:c r="J105" s="117"/>
      <x:c r="K105" s="117"/>
      <x:c r="L105" s="117"/>
      <x:c r="M105" s="117"/>
      <x:c r="N105" s="161"/>
      <x:c r="O105" s="117"/>
      <x:c r="P105" s="117"/>
      <x:c r="Q105" s="117"/>
      <x:c r="R105" s="117"/>
      <x:c r="S105" s="117"/>
      <x:c r="T105" s="117"/>
      <x:c r="U105" s="117"/>
      <x:c r="V105" s="117"/>
      <x:c r="W105" s="117"/>
      <x:c r="X105" s="117"/>
      <x:c r="Y105" s="117"/>
    </x:row>
    <x:row r="106">
      <x:c r="A106" s="117"/>
      <x:c r="B106" s="117"/>
      <x:c r="C106" s="117"/>
      <x:c r="D106" s="117"/>
      <x:c r="E106" s="117"/>
      <x:c r="F106" s="117"/>
      <x:c r="G106" s="117"/>
      <x:c r="H106" s="117"/>
      <x:c r="I106" s="117"/>
      <x:c r="J106" s="117"/>
      <x:c r="K106" s="117"/>
      <x:c r="L106" s="117"/>
      <x:c r="M106" s="117"/>
      <x:c r="N106" s="161"/>
      <x:c r="O106" s="117"/>
      <x:c r="P106" s="117"/>
      <x:c r="Q106" s="117"/>
      <x:c r="R106" s="117"/>
      <x:c r="S106" s="117"/>
      <x:c r="T106" s="117"/>
      <x:c r="U106" s="117"/>
      <x:c r="V106" s="117"/>
      <x:c r="W106" s="117"/>
      <x:c r="X106" s="117"/>
      <x:c r="Y106" s="117"/>
    </x:row>
    <x:row r="107">
      <x:c r="A107" s="117"/>
      <x:c r="B107" s="117"/>
      <x:c r="C107" s="117"/>
      <x:c r="D107" s="117"/>
      <x:c r="E107" s="117"/>
      <x:c r="F107" s="117"/>
      <x:c r="G107" s="117"/>
      <x:c r="H107" s="117"/>
      <x:c r="I107" s="117"/>
      <x:c r="J107" s="117"/>
      <x:c r="K107" s="117"/>
      <x:c r="L107" s="117"/>
      <x:c r="M107" s="117"/>
      <x:c r="N107" s="161"/>
      <x:c r="O107" s="117"/>
      <x:c r="P107" s="117"/>
      <x:c r="Q107" s="117"/>
      <x:c r="R107" s="117"/>
      <x:c r="S107" s="117"/>
      <x:c r="T107" s="117"/>
      <x:c r="U107" s="117"/>
      <x:c r="V107" s="117"/>
      <x:c r="W107" s="117"/>
      <x:c r="X107" s="117"/>
      <x:c r="Y107" s="117"/>
    </x:row>
    <x:row r="108">
      <x:c r="A108" s="117"/>
      <x:c r="B108" s="117"/>
      <x:c r="C108" s="117"/>
      <x:c r="D108" s="117"/>
      <x:c r="E108" s="117"/>
      <x:c r="F108" s="117"/>
      <x:c r="G108" s="117"/>
      <x:c r="H108" s="117"/>
      <x:c r="I108" s="117"/>
      <x:c r="J108" s="117"/>
      <x:c r="K108" s="117"/>
      <x:c r="L108" s="117"/>
      <x:c r="M108" s="117"/>
      <x:c r="N108" s="161"/>
      <x:c r="O108" s="117"/>
      <x:c r="P108" s="117"/>
      <x:c r="Q108" s="117"/>
      <x:c r="R108" s="117"/>
      <x:c r="S108" s="117"/>
      <x:c r="T108" s="117"/>
      <x:c r="U108" s="117"/>
      <x:c r="V108" s="117"/>
      <x:c r="W108" s="117"/>
      <x:c r="X108" s="117"/>
      <x:c r="Y108" s="117"/>
    </x:row>
    <x:row r="109">
      <x:c r="A109" s="117"/>
      <x:c r="B109" s="117"/>
      <x:c r="C109" s="117"/>
      <x:c r="D109" s="117"/>
      <x:c r="E109" s="117"/>
      <x:c r="F109" s="117"/>
      <x:c r="G109" s="117"/>
      <x:c r="H109" s="117"/>
      <x:c r="I109" s="117"/>
      <x:c r="J109" s="117"/>
      <x:c r="K109" s="117"/>
      <x:c r="L109" s="117"/>
      <x:c r="M109" s="117"/>
      <x:c r="N109" s="161"/>
      <x:c r="O109" s="117"/>
      <x:c r="P109" s="117"/>
      <x:c r="Q109" s="117"/>
      <x:c r="R109" s="117"/>
      <x:c r="S109" s="117"/>
      <x:c r="T109" s="117"/>
      <x:c r="U109" s="117"/>
      <x:c r="V109" s="117"/>
      <x:c r="W109" s="117"/>
      <x:c r="X109" s="117"/>
      <x:c r="Y109" s="117"/>
    </x:row>
    <x:row r="110">
      <x:c r="A110" s="117"/>
      <x:c r="B110" s="117"/>
      <x:c r="C110" s="117"/>
      <x:c r="D110" s="117"/>
      <x:c r="E110" s="117"/>
      <x:c r="F110" s="117"/>
      <x:c r="G110" s="117"/>
      <x:c r="H110" s="117"/>
      <x:c r="I110" s="117"/>
      <x:c r="J110" s="117"/>
      <x:c r="K110" s="117"/>
      <x:c r="L110" s="117"/>
      <x:c r="M110" s="117"/>
      <x:c r="N110" s="161"/>
      <x:c r="O110" s="117"/>
      <x:c r="P110" s="117"/>
      <x:c r="Q110" s="117"/>
      <x:c r="R110" s="117"/>
      <x:c r="S110" s="117"/>
      <x:c r="T110" s="117"/>
      <x:c r="U110" s="117"/>
      <x:c r="V110" s="117"/>
      <x:c r="W110" s="117"/>
      <x:c r="X110" s="117"/>
      <x:c r="Y110" s="117"/>
    </x:row>
    <x:row r="111">
      <x:c r="A111" s="117"/>
      <x:c r="B111" s="117"/>
      <x:c r="C111" s="117"/>
      <x:c r="D111" s="117"/>
      <x:c r="E111" s="117"/>
      <x:c r="F111" s="117"/>
      <x:c r="G111" s="117"/>
      <x:c r="H111" s="117"/>
      <x:c r="I111" s="117"/>
      <x:c r="J111" s="117"/>
      <x:c r="K111" s="117"/>
      <x:c r="L111" s="117"/>
      <x:c r="M111" s="117"/>
      <x:c r="N111" s="161"/>
      <x:c r="O111" s="117"/>
      <x:c r="P111" s="117"/>
      <x:c r="Q111" s="117"/>
      <x:c r="R111" s="117"/>
      <x:c r="S111" s="117"/>
      <x:c r="T111" s="117"/>
      <x:c r="U111" s="117"/>
      <x:c r="V111" s="117"/>
      <x:c r="W111" s="117"/>
      <x:c r="X111" s="117"/>
      <x:c r="Y111" s="117"/>
    </x:row>
    <x:row r="112">
      <x:c r="A112" s="117"/>
      <x:c r="B112" s="117"/>
      <x:c r="C112" s="117"/>
      <x:c r="D112" s="117"/>
      <x:c r="E112" s="117"/>
      <x:c r="F112" s="117"/>
      <x:c r="G112" s="117"/>
      <x:c r="H112" s="117"/>
      <x:c r="I112" s="117"/>
      <x:c r="J112" s="117"/>
      <x:c r="K112" s="117"/>
      <x:c r="L112" s="117"/>
      <x:c r="M112" s="117"/>
      <x:c r="N112" s="161"/>
      <x:c r="O112" s="117"/>
      <x:c r="P112" s="117"/>
      <x:c r="Q112" s="117"/>
      <x:c r="R112" s="117"/>
      <x:c r="S112" s="117"/>
      <x:c r="T112" s="117"/>
      <x:c r="U112" s="117"/>
      <x:c r="V112" s="117"/>
      <x:c r="W112" s="117"/>
      <x:c r="X112" s="117"/>
      <x:c r="Y112" s="117"/>
    </x:row>
    <x:row r="113">
      <x:c r="A113" s="117"/>
      <x:c r="B113" s="117"/>
      <x:c r="C113" s="117"/>
      <x:c r="D113" s="117"/>
      <x:c r="E113" s="117"/>
      <x:c r="F113" s="117"/>
      <x:c r="G113" s="117"/>
      <x:c r="H113" s="117"/>
      <x:c r="I113" s="117"/>
      <x:c r="J113" s="117"/>
      <x:c r="K113" s="117"/>
      <x:c r="L113" s="117"/>
      <x:c r="M113" s="117"/>
      <x:c r="N113" s="161"/>
      <x:c r="O113" s="117"/>
      <x:c r="P113" s="117"/>
      <x:c r="Q113" s="117"/>
      <x:c r="R113" s="117"/>
      <x:c r="S113" s="117"/>
      <x:c r="T113" s="117"/>
      <x:c r="U113" s="117"/>
      <x:c r="V113" s="117"/>
      <x:c r="W113" s="117"/>
      <x:c r="X113" s="117"/>
      <x:c r="Y113" s="117"/>
    </x:row>
    <x:row r="114">
      <x:c r="A114" s="117"/>
      <x:c r="B114" s="117"/>
      <x:c r="C114" s="117"/>
      <x:c r="D114" s="117"/>
      <x:c r="E114" s="117"/>
      <x:c r="F114" s="117"/>
      <x:c r="G114" s="117"/>
      <x:c r="H114" s="117"/>
      <x:c r="I114" s="117"/>
      <x:c r="J114" s="117"/>
      <x:c r="K114" s="117"/>
      <x:c r="L114" s="117"/>
      <x:c r="M114" s="117"/>
      <x:c r="N114" s="161"/>
      <x:c r="O114" s="117"/>
      <x:c r="P114" s="117"/>
      <x:c r="Q114" s="117"/>
      <x:c r="R114" s="117"/>
      <x:c r="S114" s="117"/>
      <x:c r="T114" s="117"/>
      <x:c r="U114" s="117"/>
      <x:c r="V114" s="117"/>
      <x:c r="W114" s="117"/>
      <x:c r="X114" s="117"/>
      <x:c r="Y114" s="117"/>
    </x:row>
    <x:row r="115">
      <x:c r="A115" s="117"/>
      <x:c r="B115" s="117"/>
      <x:c r="C115" s="117"/>
      <x:c r="D115" s="117"/>
      <x:c r="E115" s="117"/>
      <x:c r="F115" s="117"/>
      <x:c r="G115" s="117"/>
      <x:c r="H115" s="117"/>
      <x:c r="I115" s="117"/>
      <x:c r="J115" s="117"/>
      <x:c r="K115" s="117"/>
      <x:c r="L115" s="117"/>
      <x:c r="M115" s="117"/>
      <x:c r="N115" s="161"/>
      <x:c r="O115" s="117"/>
      <x:c r="P115" s="117"/>
      <x:c r="Q115" s="117"/>
      <x:c r="R115" s="117"/>
      <x:c r="S115" s="117"/>
      <x:c r="T115" s="117"/>
      <x:c r="U115" s="117"/>
      <x:c r="V115" s="117"/>
      <x:c r="W115" s="117"/>
      <x:c r="X115" s="117"/>
      <x:c r="Y115" s="117"/>
    </x:row>
    <x:row r="116">
      <x:c r="A116" s="117"/>
      <x:c r="B116" s="117"/>
      <x:c r="C116" s="117"/>
      <x:c r="D116" s="117"/>
      <x:c r="E116" s="117"/>
      <x:c r="F116" s="117"/>
      <x:c r="G116" s="117"/>
      <x:c r="H116" s="117"/>
      <x:c r="I116" s="117"/>
      <x:c r="J116" s="117"/>
      <x:c r="K116" s="117"/>
      <x:c r="L116" s="117"/>
      <x:c r="M116" s="117"/>
      <x:c r="N116" s="161"/>
      <x:c r="O116" s="117"/>
      <x:c r="P116" s="117"/>
      <x:c r="Q116" s="117"/>
      <x:c r="R116" s="117"/>
      <x:c r="S116" s="117"/>
      <x:c r="T116" s="117"/>
      <x:c r="U116" s="117"/>
      <x:c r="V116" s="117"/>
      <x:c r="W116" s="117"/>
      <x:c r="X116" s="117"/>
      <x:c r="Y116" s="117"/>
    </x:row>
    <x:row r="117">
      <x:c r="A117" s="117"/>
      <x:c r="B117" s="117"/>
      <x:c r="C117" s="117"/>
      <x:c r="D117" s="117"/>
      <x:c r="E117" s="117"/>
      <x:c r="F117" s="117"/>
      <x:c r="G117" s="117"/>
      <x:c r="H117" s="117"/>
      <x:c r="I117" s="117"/>
      <x:c r="J117" s="117"/>
      <x:c r="K117" s="117"/>
      <x:c r="L117" s="117"/>
      <x:c r="M117" s="117"/>
      <x:c r="N117" s="161"/>
      <x:c r="O117" s="117"/>
      <x:c r="P117" s="117"/>
      <x:c r="Q117" s="117"/>
      <x:c r="R117" s="117"/>
      <x:c r="S117" s="117"/>
      <x:c r="T117" s="117"/>
      <x:c r="U117" s="117"/>
      <x:c r="V117" s="117"/>
      <x:c r="W117" s="117"/>
      <x:c r="X117" s="117"/>
      <x:c r="Y117" s="117"/>
    </x:row>
    <x:row r="118">
      <x:c r="A118" s="117"/>
      <x:c r="B118" s="117"/>
      <x:c r="C118" s="117"/>
      <x:c r="D118" s="117"/>
      <x:c r="E118" s="117"/>
      <x:c r="F118" s="117"/>
      <x:c r="G118" s="117"/>
      <x:c r="H118" s="117"/>
      <x:c r="I118" s="117"/>
      <x:c r="J118" s="117"/>
      <x:c r="K118" s="117"/>
      <x:c r="L118" s="117"/>
      <x:c r="M118" s="117"/>
      <x:c r="N118" s="161"/>
      <x:c r="O118" s="117"/>
      <x:c r="P118" s="117"/>
      <x:c r="Q118" s="117"/>
      <x:c r="R118" s="117"/>
      <x:c r="S118" s="117"/>
      <x:c r="T118" s="117"/>
      <x:c r="U118" s="117"/>
      <x:c r="V118" s="117"/>
      <x:c r="W118" s="117"/>
      <x:c r="X118" s="117"/>
      <x:c r="Y118" s="117"/>
    </x:row>
    <x:row r="119">
      <x:c r="A119" s="117"/>
      <x:c r="B119" s="117"/>
      <x:c r="C119" s="117"/>
      <x:c r="D119" s="117"/>
      <x:c r="E119" s="117"/>
      <x:c r="F119" s="117"/>
      <x:c r="G119" s="117"/>
      <x:c r="H119" s="117"/>
      <x:c r="I119" s="117"/>
      <x:c r="J119" s="117"/>
      <x:c r="K119" s="117"/>
      <x:c r="L119" s="117"/>
      <x:c r="M119" s="117"/>
      <x:c r="N119" s="161"/>
      <x:c r="O119" s="117"/>
      <x:c r="P119" s="117"/>
      <x:c r="Q119" s="117"/>
      <x:c r="R119" s="117"/>
      <x:c r="S119" s="117"/>
      <x:c r="T119" s="117"/>
      <x:c r="U119" s="117"/>
      <x:c r="V119" s="117"/>
      <x:c r="W119" s="117"/>
      <x:c r="X119" s="117"/>
      <x:c r="Y119" s="117"/>
    </x:row>
    <x:row r="120">
      <x:c r="A120" s="117"/>
      <x:c r="B120" s="117"/>
      <x:c r="C120" s="117"/>
      <x:c r="D120" s="117"/>
      <x:c r="E120" s="117"/>
      <x:c r="F120" s="117"/>
      <x:c r="G120" s="117"/>
      <x:c r="H120" s="117"/>
      <x:c r="I120" s="117"/>
      <x:c r="J120" s="117"/>
      <x:c r="K120" s="117"/>
      <x:c r="L120" s="117"/>
      <x:c r="M120" s="117"/>
      <x:c r="N120" s="161"/>
      <x:c r="O120" s="117"/>
      <x:c r="P120" s="117"/>
      <x:c r="Q120" s="117"/>
      <x:c r="R120" s="117"/>
      <x:c r="S120" s="117"/>
      <x:c r="T120" s="117"/>
      <x:c r="U120" s="117"/>
      <x:c r="V120" s="117"/>
      <x:c r="W120" s="117"/>
      <x:c r="X120" s="117"/>
      <x:c r="Y120" s="117"/>
    </x:row>
    <x:row r="121">
      <x:c r="A121" s="117"/>
      <x:c r="B121" s="117"/>
      <x:c r="C121" s="117"/>
      <x:c r="D121" s="117"/>
      <x:c r="E121" s="117"/>
      <x:c r="F121" s="117"/>
      <x:c r="G121" s="117"/>
      <x:c r="H121" s="117"/>
      <x:c r="I121" s="117"/>
      <x:c r="J121" s="117"/>
      <x:c r="K121" s="117"/>
      <x:c r="L121" s="117"/>
      <x:c r="M121" s="117"/>
      <x:c r="N121" s="161"/>
      <x:c r="O121" s="117"/>
      <x:c r="P121" s="117"/>
      <x:c r="Q121" s="117"/>
      <x:c r="R121" s="117"/>
      <x:c r="S121" s="117"/>
      <x:c r="T121" s="117"/>
      <x:c r="U121" s="117"/>
      <x:c r="V121" s="117"/>
      <x:c r="W121" s="117"/>
      <x:c r="X121" s="117"/>
      <x:c r="Y121" s="117"/>
    </x:row>
    <x:row r="122">
      <x:c r="A122" s="117"/>
      <x:c r="B122" s="117"/>
      <x:c r="C122" s="117"/>
      <x:c r="D122" s="117"/>
      <x:c r="E122" s="117"/>
      <x:c r="F122" s="117"/>
      <x:c r="G122" s="117"/>
      <x:c r="H122" s="117"/>
      <x:c r="I122" s="117"/>
      <x:c r="J122" s="117"/>
      <x:c r="K122" s="117"/>
      <x:c r="L122" s="117"/>
      <x:c r="M122" s="117"/>
      <x:c r="N122" s="161"/>
      <x:c r="O122" s="117"/>
      <x:c r="P122" s="117"/>
      <x:c r="Q122" s="117"/>
      <x:c r="R122" s="117"/>
      <x:c r="S122" s="117"/>
      <x:c r="T122" s="117"/>
      <x:c r="U122" s="117"/>
      <x:c r="V122" s="117"/>
      <x:c r="W122" s="117"/>
      <x:c r="X122" s="117"/>
      <x:c r="Y122" s="117"/>
    </x:row>
    <x:row r="123">
      <x:c r="A123" s="117"/>
      <x:c r="B123" s="117"/>
      <x:c r="C123" s="117"/>
      <x:c r="D123" s="117"/>
      <x:c r="E123" s="117"/>
      <x:c r="F123" s="117"/>
      <x:c r="G123" s="117"/>
      <x:c r="H123" s="117"/>
      <x:c r="I123" s="117"/>
      <x:c r="J123" s="117"/>
      <x:c r="K123" s="117"/>
      <x:c r="L123" s="117"/>
      <x:c r="M123" s="117"/>
      <x:c r="N123" s="161"/>
      <x:c r="O123" s="117"/>
      <x:c r="P123" s="117"/>
      <x:c r="Q123" s="117"/>
      <x:c r="R123" s="117"/>
      <x:c r="S123" s="117"/>
      <x:c r="T123" s="117"/>
      <x:c r="U123" s="117"/>
      <x:c r="V123" s="117"/>
      <x:c r="W123" s="117"/>
      <x:c r="X123" s="117"/>
      <x:c r="Y123" s="117"/>
    </x:row>
    <x:row r="124">
      <x:c r="A124" s="117"/>
      <x:c r="B124" s="117"/>
      <x:c r="C124" s="117"/>
      <x:c r="D124" s="117"/>
      <x:c r="E124" s="117"/>
      <x:c r="F124" s="117"/>
      <x:c r="G124" s="117"/>
      <x:c r="H124" s="117"/>
      <x:c r="I124" s="117"/>
      <x:c r="J124" s="117"/>
      <x:c r="K124" s="117"/>
      <x:c r="L124" s="117"/>
      <x:c r="M124" s="117"/>
      <x:c r="N124" s="161"/>
      <x:c r="O124" s="117"/>
      <x:c r="P124" s="117"/>
      <x:c r="Q124" s="117"/>
      <x:c r="R124" s="117"/>
      <x:c r="S124" s="117"/>
      <x:c r="T124" s="117"/>
      <x:c r="U124" s="117"/>
      <x:c r="V124" s="117"/>
      <x:c r="W124" s="117"/>
      <x:c r="X124" s="117"/>
      <x:c r="Y124" s="117"/>
    </x:row>
    <x:row r="125">
      <x:c r="A125" s="117"/>
      <x:c r="B125" s="117"/>
      <x:c r="C125" s="117"/>
      <x:c r="D125" s="117"/>
      <x:c r="E125" s="117"/>
      <x:c r="F125" s="117"/>
      <x:c r="G125" s="117"/>
      <x:c r="H125" s="117"/>
      <x:c r="I125" s="117"/>
      <x:c r="J125" s="117"/>
      <x:c r="K125" s="117"/>
      <x:c r="L125" s="117"/>
      <x:c r="M125" s="117"/>
      <x:c r="N125" s="161"/>
      <x:c r="O125" s="117"/>
      <x:c r="P125" s="117"/>
      <x:c r="Q125" s="117"/>
      <x:c r="R125" s="117"/>
      <x:c r="S125" s="117"/>
      <x:c r="T125" s="117"/>
      <x:c r="U125" s="117"/>
      <x:c r="V125" s="117"/>
      <x:c r="W125" s="117"/>
      <x:c r="X125" s="117"/>
      <x:c r="Y125" s="117"/>
    </x:row>
    <x:row r="126">
      <x:c r="A126" s="117"/>
      <x:c r="B126" s="117"/>
      <x:c r="C126" s="117"/>
      <x:c r="D126" s="117"/>
      <x:c r="E126" s="117"/>
      <x:c r="F126" s="117"/>
      <x:c r="G126" s="117"/>
      <x:c r="H126" s="117"/>
      <x:c r="I126" s="117"/>
      <x:c r="J126" s="117"/>
      <x:c r="K126" s="117"/>
      <x:c r="L126" s="117"/>
      <x:c r="M126" s="117"/>
      <x:c r="N126" s="161"/>
      <x:c r="O126" s="117"/>
      <x:c r="P126" s="117"/>
      <x:c r="Q126" s="117"/>
      <x:c r="R126" s="117"/>
      <x:c r="S126" s="117"/>
      <x:c r="T126" s="117"/>
      <x:c r="U126" s="117"/>
      <x:c r="V126" s="117"/>
      <x:c r="W126" s="117"/>
      <x:c r="X126" s="117"/>
      <x:c r="Y126" s="117"/>
    </x:row>
    <x:row r="127">
      <x:c r="A127" s="117"/>
      <x:c r="B127" s="117"/>
      <x:c r="C127" s="117"/>
      <x:c r="D127" s="117"/>
      <x:c r="E127" s="117"/>
      <x:c r="F127" s="117"/>
      <x:c r="G127" s="117"/>
      <x:c r="H127" s="117"/>
      <x:c r="I127" s="117"/>
      <x:c r="J127" s="117"/>
      <x:c r="K127" s="117"/>
      <x:c r="L127" s="117"/>
      <x:c r="M127" s="117"/>
      <x:c r="N127" s="161"/>
      <x:c r="O127" s="117"/>
      <x:c r="P127" s="117"/>
      <x:c r="Q127" s="117"/>
      <x:c r="R127" s="117"/>
      <x:c r="S127" s="117"/>
      <x:c r="T127" s="117"/>
      <x:c r="U127" s="117"/>
      <x:c r="V127" s="117"/>
      <x:c r="W127" s="117"/>
      <x:c r="X127" s="117"/>
      <x:c r="Y127" s="117"/>
    </x:row>
    <x:row r="128">
      <x:c r="A128" s="117"/>
      <x:c r="B128" s="117"/>
      <x:c r="C128" s="117"/>
      <x:c r="D128" s="117"/>
      <x:c r="E128" s="117"/>
      <x:c r="F128" s="117"/>
      <x:c r="G128" s="117"/>
      <x:c r="H128" s="117"/>
      <x:c r="I128" s="117"/>
      <x:c r="J128" s="117"/>
      <x:c r="K128" s="117"/>
      <x:c r="L128" s="117"/>
      <x:c r="M128" s="117"/>
      <x:c r="N128" s="161"/>
      <x:c r="O128" s="117"/>
      <x:c r="P128" s="117"/>
      <x:c r="Q128" s="117"/>
      <x:c r="R128" s="117"/>
      <x:c r="S128" s="117"/>
      <x:c r="T128" s="117"/>
      <x:c r="U128" s="117"/>
      <x:c r="V128" s="117"/>
      <x:c r="W128" s="117"/>
      <x:c r="X128" s="117"/>
      <x:c r="Y128" s="117"/>
    </x:row>
    <x:row r="129">
      <x:c r="A129" s="117"/>
      <x:c r="B129" s="117"/>
      <x:c r="C129" s="117"/>
      <x:c r="D129" s="117"/>
      <x:c r="E129" s="117"/>
      <x:c r="F129" s="117"/>
      <x:c r="G129" s="117"/>
      <x:c r="H129" s="117"/>
      <x:c r="I129" s="117"/>
      <x:c r="J129" s="117"/>
      <x:c r="K129" s="117"/>
      <x:c r="L129" s="117"/>
      <x:c r="M129" s="117"/>
      <x:c r="N129" s="161"/>
      <x:c r="O129" s="117"/>
      <x:c r="P129" s="117"/>
      <x:c r="Q129" s="117"/>
      <x:c r="R129" s="117"/>
      <x:c r="S129" s="117"/>
      <x:c r="T129" s="117"/>
      <x:c r="U129" s="117"/>
      <x:c r="V129" s="117"/>
      <x:c r="W129" s="117"/>
      <x:c r="X129" s="117"/>
      <x:c r="Y129" s="117"/>
    </x:row>
    <x:row r="130">
      <x:c r="A130" s="117"/>
      <x:c r="B130" s="117"/>
      <x:c r="C130" s="117"/>
      <x:c r="D130" s="117"/>
      <x:c r="E130" s="117"/>
      <x:c r="F130" s="117"/>
      <x:c r="G130" s="117"/>
      <x:c r="H130" s="117"/>
      <x:c r="I130" s="117"/>
      <x:c r="J130" s="117"/>
      <x:c r="K130" s="117"/>
      <x:c r="L130" s="117"/>
      <x:c r="M130" s="117"/>
      <x:c r="N130" s="161"/>
      <x:c r="O130" s="117"/>
      <x:c r="P130" s="117"/>
      <x:c r="Q130" s="117"/>
      <x:c r="R130" s="117"/>
      <x:c r="S130" s="117"/>
      <x:c r="T130" s="117"/>
      <x:c r="U130" s="117"/>
      <x:c r="V130" s="117"/>
      <x:c r="W130" s="117"/>
      <x:c r="X130" s="117"/>
      <x:c r="Y130" s="117"/>
    </x:row>
    <x:row r="131">
      <x:c r="A131" s="117"/>
      <x:c r="B131" s="117"/>
      <x:c r="C131" s="117"/>
      <x:c r="D131" s="117"/>
      <x:c r="E131" s="117"/>
      <x:c r="F131" s="117"/>
      <x:c r="G131" s="117"/>
      <x:c r="H131" s="117"/>
      <x:c r="I131" s="117"/>
      <x:c r="J131" s="117"/>
      <x:c r="K131" s="117"/>
      <x:c r="L131" s="117"/>
      <x:c r="M131" s="117"/>
      <x:c r="N131" s="161"/>
      <x:c r="O131" s="117"/>
      <x:c r="P131" s="117"/>
      <x:c r="Q131" s="117"/>
      <x:c r="R131" s="117"/>
      <x:c r="S131" s="117"/>
      <x:c r="T131" s="117"/>
      <x:c r="U131" s="117"/>
      <x:c r="V131" s="117"/>
      <x:c r="W131" s="117"/>
      <x:c r="X131" s="117"/>
      <x:c r="Y131" s="117"/>
    </x:row>
    <x:row r="132">
      <x:c r="A132" s="117"/>
      <x:c r="B132" s="117"/>
      <x:c r="C132" s="117"/>
      <x:c r="D132" s="117"/>
      <x:c r="E132" s="117"/>
      <x:c r="F132" s="117"/>
      <x:c r="G132" s="117"/>
      <x:c r="H132" s="117"/>
      <x:c r="I132" s="117"/>
      <x:c r="J132" s="117"/>
      <x:c r="K132" s="117"/>
      <x:c r="L132" s="117"/>
      <x:c r="M132" s="117"/>
      <x:c r="N132" s="161"/>
      <x:c r="O132" s="117"/>
      <x:c r="P132" s="117"/>
      <x:c r="Q132" s="117"/>
      <x:c r="R132" s="117"/>
      <x:c r="S132" s="117"/>
      <x:c r="T132" s="117"/>
      <x:c r="U132" s="117"/>
      <x:c r="V132" s="117"/>
      <x:c r="W132" s="117"/>
      <x:c r="X132" s="117"/>
      <x:c r="Y132" s="117"/>
    </x:row>
    <x:row r="133">
      <x:c r="A133" s="117"/>
      <x:c r="B133" s="117"/>
      <x:c r="C133" s="117"/>
      <x:c r="D133" s="117"/>
      <x:c r="E133" s="117"/>
      <x:c r="F133" s="117"/>
      <x:c r="G133" s="117"/>
      <x:c r="H133" s="117"/>
      <x:c r="I133" s="117"/>
      <x:c r="J133" s="117"/>
      <x:c r="K133" s="117"/>
      <x:c r="L133" s="117"/>
      <x:c r="M133" s="117"/>
      <x:c r="N133" s="161"/>
      <x:c r="O133" s="117"/>
      <x:c r="P133" s="117"/>
      <x:c r="Q133" s="117"/>
      <x:c r="R133" s="117"/>
      <x:c r="S133" s="117"/>
      <x:c r="T133" s="117"/>
      <x:c r="U133" s="117"/>
      <x:c r="V133" s="117"/>
      <x:c r="W133" s="117"/>
      <x:c r="X133" s="117"/>
      <x:c r="Y133" s="117"/>
    </x:row>
    <x:row r="134">
      <x:c r="A134" s="117"/>
      <x:c r="B134" s="117"/>
      <x:c r="C134" s="117"/>
      <x:c r="D134" s="117"/>
      <x:c r="E134" s="117"/>
      <x:c r="F134" s="117"/>
      <x:c r="G134" s="117"/>
      <x:c r="H134" s="117"/>
      <x:c r="I134" s="117"/>
      <x:c r="J134" s="117"/>
      <x:c r="K134" s="117"/>
      <x:c r="L134" s="117"/>
      <x:c r="M134" s="117"/>
      <x:c r="N134" s="161"/>
      <x:c r="O134" s="117"/>
      <x:c r="P134" s="117"/>
      <x:c r="Q134" s="117"/>
      <x:c r="R134" s="117"/>
      <x:c r="S134" s="117"/>
      <x:c r="T134" s="117"/>
      <x:c r="U134" s="117"/>
      <x:c r="V134" s="117"/>
      <x:c r="W134" s="117"/>
      <x:c r="X134" s="117"/>
      <x:c r="Y134" s="117"/>
    </x:row>
    <x:row r="135">
      <x:c r="A135" s="117"/>
      <x:c r="B135" s="117"/>
      <x:c r="C135" s="117"/>
      <x:c r="D135" s="117"/>
      <x:c r="E135" s="117"/>
      <x:c r="F135" s="117"/>
      <x:c r="G135" s="117"/>
      <x:c r="H135" s="117"/>
      <x:c r="I135" s="117"/>
      <x:c r="J135" s="117"/>
      <x:c r="K135" s="117"/>
      <x:c r="L135" s="117"/>
      <x:c r="M135" s="117"/>
      <x:c r="N135" s="161"/>
      <x:c r="O135" s="117"/>
      <x:c r="P135" s="117"/>
      <x:c r="Q135" s="117"/>
      <x:c r="R135" s="117"/>
      <x:c r="S135" s="117"/>
      <x:c r="T135" s="117"/>
      <x:c r="U135" s="117"/>
      <x:c r="V135" s="117"/>
      <x:c r="W135" s="117"/>
      <x:c r="X135" s="117"/>
      <x:c r="Y135" s="117"/>
    </x:row>
    <x:row r="136">
      <x:c r="A136" s="117"/>
      <x:c r="B136" s="117"/>
      <x:c r="C136" s="117"/>
      <x:c r="D136" s="117"/>
      <x:c r="E136" s="117"/>
      <x:c r="F136" s="117"/>
      <x:c r="G136" s="117"/>
      <x:c r="H136" s="117"/>
      <x:c r="I136" s="117"/>
      <x:c r="J136" s="117"/>
      <x:c r="K136" s="117"/>
      <x:c r="L136" s="117"/>
      <x:c r="M136" s="117"/>
      <x:c r="N136" s="161"/>
      <x:c r="O136" s="117"/>
      <x:c r="P136" s="117"/>
      <x:c r="Q136" s="117"/>
      <x:c r="R136" s="117"/>
      <x:c r="S136" s="117"/>
      <x:c r="T136" s="117"/>
      <x:c r="U136" s="117"/>
      <x:c r="V136" s="117"/>
      <x:c r="W136" s="117"/>
      <x:c r="X136" s="117"/>
      <x:c r="Y136" s="117"/>
    </x:row>
    <x:row r="137">
      <x:c r="A137" s="117"/>
      <x:c r="B137" s="117"/>
      <x:c r="C137" s="117"/>
      <x:c r="D137" s="117"/>
      <x:c r="E137" s="117"/>
      <x:c r="F137" s="117"/>
      <x:c r="G137" s="117"/>
      <x:c r="H137" s="117"/>
      <x:c r="I137" s="117"/>
      <x:c r="J137" s="117"/>
      <x:c r="K137" s="117"/>
      <x:c r="L137" s="117"/>
      <x:c r="M137" s="117"/>
      <x:c r="N137" s="161"/>
      <x:c r="O137" s="117"/>
      <x:c r="P137" s="117"/>
      <x:c r="Q137" s="117"/>
      <x:c r="R137" s="117"/>
      <x:c r="S137" s="117"/>
      <x:c r="T137" s="117"/>
      <x:c r="U137" s="117"/>
      <x:c r="V137" s="117"/>
      <x:c r="W137" s="117"/>
      <x:c r="X137" s="117"/>
      <x:c r="Y137" s="117"/>
    </x:row>
    <x:row r="138">
      <x:c r="A138" s="117"/>
      <x:c r="B138" s="117"/>
      <x:c r="C138" s="117"/>
      <x:c r="D138" s="117"/>
      <x:c r="E138" s="117"/>
      <x:c r="F138" s="117"/>
      <x:c r="G138" s="117"/>
      <x:c r="H138" s="117"/>
      <x:c r="I138" s="117"/>
      <x:c r="J138" s="117"/>
      <x:c r="K138" s="117"/>
      <x:c r="L138" s="117"/>
      <x:c r="M138" s="117"/>
      <x:c r="N138" s="161"/>
      <x:c r="O138" s="117"/>
      <x:c r="P138" s="117"/>
      <x:c r="Q138" s="117"/>
      <x:c r="R138" s="117"/>
      <x:c r="S138" s="117"/>
      <x:c r="T138" s="117"/>
      <x:c r="U138" s="117"/>
      <x:c r="V138" s="117"/>
      <x:c r="W138" s="117"/>
      <x:c r="X138" s="117"/>
      <x:c r="Y138" s="117"/>
    </x:row>
    <x:row r="139">
      <x:c r="A139" s="117"/>
      <x:c r="B139" s="117"/>
      <x:c r="C139" s="117"/>
      <x:c r="D139" s="117"/>
      <x:c r="E139" s="117"/>
      <x:c r="F139" s="117"/>
      <x:c r="G139" s="117"/>
      <x:c r="H139" s="117"/>
      <x:c r="I139" s="117"/>
      <x:c r="J139" s="117"/>
      <x:c r="K139" s="117"/>
      <x:c r="L139" s="117"/>
      <x:c r="M139" s="117"/>
      <x:c r="N139" s="161"/>
      <x:c r="O139" s="117"/>
      <x:c r="P139" s="117"/>
      <x:c r="Q139" s="117"/>
      <x:c r="R139" s="117"/>
      <x:c r="S139" s="117"/>
      <x:c r="T139" s="117"/>
      <x:c r="U139" s="117"/>
      <x:c r="V139" s="117"/>
      <x:c r="W139" s="117"/>
      <x:c r="X139" s="117"/>
      <x:c r="Y139" s="117"/>
    </x:row>
    <x:row r="140">
      <x:c r="A140" s="117"/>
      <x:c r="B140" s="117"/>
      <x:c r="C140" s="117"/>
      <x:c r="D140" s="117"/>
      <x:c r="E140" s="117"/>
      <x:c r="F140" s="117"/>
      <x:c r="G140" s="117"/>
      <x:c r="H140" s="117"/>
      <x:c r="I140" s="117"/>
      <x:c r="J140" s="117"/>
      <x:c r="K140" s="117"/>
      <x:c r="L140" s="117"/>
      <x:c r="M140" s="117"/>
      <x:c r="N140" s="161"/>
      <x:c r="O140" s="117"/>
      <x:c r="P140" s="117"/>
      <x:c r="Q140" s="117"/>
      <x:c r="R140" s="117"/>
      <x:c r="S140" s="117"/>
      <x:c r="T140" s="117"/>
      <x:c r="U140" s="117"/>
      <x:c r="V140" s="117"/>
      <x:c r="W140" s="117"/>
      <x:c r="X140" s="117"/>
      <x:c r="Y140" s="117"/>
    </x:row>
    <x:row r="141">
      <x:c r="A141" s="117"/>
      <x:c r="B141" s="117"/>
      <x:c r="C141" s="117"/>
      <x:c r="D141" s="117"/>
      <x:c r="E141" s="117"/>
      <x:c r="F141" s="117"/>
      <x:c r="G141" s="117"/>
      <x:c r="H141" s="117"/>
      <x:c r="I141" s="117"/>
      <x:c r="J141" s="117"/>
      <x:c r="K141" s="117"/>
      <x:c r="L141" s="117"/>
      <x:c r="M141" s="117"/>
      <x:c r="N141" s="161"/>
      <x:c r="O141" s="117"/>
      <x:c r="P141" s="117"/>
      <x:c r="Q141" s="117"/>
      <x:c r="R141" s="117"/>
      <x:c r="S141" s="117"/>
      <x:c r="T141" s="117"/>
      <x:c r="U141" s="117"/>
      <x:c r="V141" s="117"/>
      <x:c r="W141" s="117"/>
      <x:c r="X141" s="117"/>
      <x:c r="Y141" s="117"/>
    </x:row>
    <x:row r="142">
      <x:c r="A142" s="117"/>
      <x:c r="B142" s="117"/>
      <x:c r="C142" s="117"/>
      <x:c r="D142" s="117"/>
      <x:c r="E142" s="117"/>
      <x:c r="F142" s="117"/>
      <x:c r="G142" s="117"/>
      <x:c r="H142" s="117"/>
      <x:c r="I142" s="117"/>
      <x:c r="J142" s="117"/>
      <x:c r="K142" s="117"/>
      <x:c r="L142" s="117"/>
      <x:c r="M142" s="117"/>
      <x:c r="N142" s="161"/>
      <x:c r="O142" s="117"/>
      <x:c r="P142" s="117"/>
      <x:c r="Q142" s="117"/>
      <x:c r="R142" s="117"/>
      <x:c r="S142" s="117"/>
      <x:c r="T142" s="117"/>
      <x:c r="U142" s="117"/>
      <x:c r="V142" s="117"/>
      <x:c r="W142" s="117"/>
      <x:c r="X142" s="117"/>
      <x:c r="Y142" s="117"/>
    </x:row>
    <x:row r="143">
      <x:c r="A143" s="117"/>
      <x:c r="B143" s="117"/>
      <x:c r="C143" s="117"/>
      <x:c r="D143" s="117"/>
      <x:c r="E143" s="117"/>
      <x:c r="F143" s="117"/>
      <x:c r="G143" s="117"/>
      <x:c r="H143" s="117"/>
      <x:c r="I143" s="117"/>
      <x:c r="J143" s="117"/>
      <x:c r="K143" s="117"/>
      <x:c r="L143" s="117"/>
      <x:c r="M143" s="117"/>
      <x:c r="N143" s="161"/>
      <x:c r="O143" s="117"/>
      <x:c r="P143" s="117"/>
      <x:c r="Q143" s="117"/>
      <x:c r="R143" s="117"/>
      <x:c r="S143" s="117"/>
      <x:c r="T143" s="117"/>
      <x:c r="U143" s="117"/>
      <x:c r="V143" s="117"/>
      <x:c r="W143" s="117"/>
      <x:c r="X143" s="117"/>
      <x:c r="Y143" s="117"/>
    </x:row>
    <x:row r="144">
      <x:c r="A144" s="117"/>
      <x:c r="B144" s="117"/>
      <x:c r="C144" s="117"/>
      <x:c r="D144" s="117"/>
      <x:c r="E144" s="117"/>
      <x:c r="F144" s="117"/>
      <x:c r="G144" s="117"/>
      <x:c r="H144" s="117"/>
      <x:c r="I144" s="117"/>
      <x:c r="J144" s="117"/>
      <x:c r="K144" s="117"/>
      <x:c r="L144" s="117"/>
      <x:c r="M144" s="117"/>
      <x:c r="N144" s="161"/>
      <x:c r="O144" s="117"/>
      <x:c r="P144" s="117"/>
      <x:c r="Q144" s="117"/>
      <x:c r="R144" s="117"/>
      <x:c r="S144" s="117"/>
      <x:c r="T144" s="117"/>
      <x:c r="U144" s="117"/>
      <x:c r="V144" s="117"/>
      <x:c r="W144" s="117"/>
      <x:c r="X144" s="117"/>
      <x:c r="Y144" s="117"/>
    </x:row>
    <x:row r="145">
      <x:c r="A145" s="117"/>
      <x:c r="B145" s="117"/>
      <x:c r="C145" s="117"/>
      <x:c r="D145" s="117"/>
      <x:c r="E145" s="117"/>
      <x:c r="F145" s="117"/>
      <x:c r="G145" s="117"/>
      <x:c r="H145" s="117"/>
      <x:c r="I145" s="117"/>
      <x:c r="J145" s="117"/>
      <x:c r="K145" s="117"/>
      <x:c r="L145" s="117"/>
      <x:c r="M145" s="117"/>
      <x:c r="N145" s="161"/>
      <x:c r="O145" s="117"/>
      <x:c r="P145" s="117"/>
      <x:c r="Q145" s="117"/>
      <x:c r="R145" s="117"/>
      <x:c r="S145" s="117"/>
      <x:c r="T145" s="117"/>
      <x:c r="U145" s="117"/>
      <x:c r="V145" s="117"/>
      <x:c r="W145" s="117"/>
      <x:c r="X145" s="117"/>
      <x:c r="Y145" s="117"/>
    </x:row>
    <x:row r="146">
      <x:c r="A146" s="117"/>
      <x:c r="B146" s="117"/>
      <x:c r="C146" s="117"/>
      <x:c r="D146" s="117"/>
      <x:c r="E146" s="117"/>
      <x:c r="F146" s="117"/>
      <x:c r="G146" s="117"/>
      <x:c r="H146" s="117"/>
      <x:c r="I146" s="117"/>
      <x:c r="J146" s="117"/>
      <x:c r="K146" s="117"/>
      <x:c r="L146" s="117"/>
      <x:c r="M146" s="117"/>
      <x:c r="N146" s="161"/>
      <x:c r="O146" s="117"/>
      <x:c r="P146" s="117"/>
      <x:c r="Q146" s="117"/>
      <x:c r="R146" s="117"/>
      <x:c r="S146" s="117"/>
      <x:c r="T146" s="117"/>
      <x:c r="U146" s="117"/>
      <x:c r="V146" s="117"/>
      <x:c r="W146" s="117"/>
      <x:c r="X146" s="117"/>
      <x:c r="Y146" s="117"/>
    </x:row>
    <x:row r="147">
      <x:c r="A147" s="117"/>
      <x:c r="B147" s="117"/>
      <x:c r="C147" s="117"/>
      <x:c r="D147" s="117"/>
      <x:c r="E147" s="117"/>
      <x:c r="F147" s="117"/>
      <x:c r="G147" s="117"/>
      <x:c r="H147" s="117"/>
      <x:c r="I147" s="117"/>
      <x:c r="J147" s="117"/>
      <x:c r="K147" s="117"/>
      <x:c r="L147" s="117"/>
      <x:c r="M147" s="117"/>
      <x:c r="N147" s="161"/>
      <x:c r="O147" s="117"/>
      <x:c r="P147" s="117"/>
      <x:c r="Q147" s="117"/>
      <x:c r="R147" s="117"/>
      <x:c r="S147" s="117"/>
      <x:c r="T147" s="117"/>
      <x:c r="U147" s="117"/>
      <x:c r="V147" s="117"/>
      <x:c r="W147" s="117"/>
      <x:c r="X147" s="117"/>
      <x:c r="Y147" s="117"/>
    </x:row>
    <x:row r="148">
      <x:c r="A148" s="117"/>
      <x:c r="B148" s="117"/>
      <x:c r="C148" s="117"/>
      <x:c r="D148" s="117"/>
      <x:c r="E148" s="117"/>
      <x:c r="F148" s="117"/>
      <x:c r="G148" s="117"/>
      <x:c r="H148" s="117"/>
      <x:c r="I148" s="117"/>
      <x:c r="J148" s="117"/>
      <x:c r="K148" s="117"/>
      <x:c r="L148" s="117"/>
      <x:c r="M148" s="117"/>
      <x:c r="N148" s="161"/>
      <x:c r="O148" s="117"/>
      <x:c r="P148" s="117"/>
      <x:c r="Q148" s="117"/>
      <x:c r="R148" s="117"/>
      <x:c r="S148" s="117"/>
      <x:c r="T148" s="117"/>
      <x:c r="U148" s="117"/>
      <x:c r="V148" s="117"/>
      <x:c r="W148" s="117"/>
      <x:c r="X148" s="117"/>
      <x:c r="Y148" s="117"/>
    </x:row>
    <x:row r="149">
      <x:c r="A149" s="117"/>
      <x:c r="B149" s="117"/>
      <x:c r="C149" s="117"/>
      <x:c r="D149" s="117"/>
      <x:c r="E149" s="117"/>
      <x:c r="F149" s="117"/>
      <x:c r="G149" s="117"/>
      <x:c r="H149" s="117"/>
      <x:c r="I149" s="117"/>
      <x:c r="J149" s="117"/>
      <x:c r="K149" s="117"/>
      <x:c r="L149" s="117"/>
      <x:c r="M149" s="117"/>
      <x:c r="N149" s="161"/>
      <x:c r="O149" s="117"/>
      <x:c r="P149" s="117"/>
      <x:c r="Q149" s="117"/>
      <x:c r="R149" s="117"/>
      <x:c r="S149" s="117"/>
      <x:c r="T149" s="117"/>
      <x:c r="U149" s="117"/>
      <x:c r="V149" s="117"/>
      <x:c r="W149" s="117"/>
      <x:c r="X149" s="117"/>
      <x:c r="Y149" s="117"/>
    </x:row>
    <x:row r="150">
      <x:c r="A150" s="117"/>
      <x:c r="B150" s="117"/>
      <x:c r="C150" s="117"/>
      <x:c r="D150" s="117"/>
      <x:c r="E150" s="117"/>
      <x:c r="F150" s="117"/>
      <x:c r="G150" s="117"/>
      <x:c r="H150" s="117"/>
      <x:c r="I150" s="117"/>
      <x:c r="J150" s="117"/>
      <x:c r="K150" s="117"/>
      <x:c r="L150" s="117"/>
      <x:c r="M150" s="117"/>
      <x:c r="N150" s="161"/>
      <x:c r="O150" s="117"/>
      <x:c r="P150" s="117"/>
      <x:c r="Q150" s="117"/>
      <x:c r="R150" s="117"/>
      <x:c r="S150" s="117"/>
      <x:c r="T150" s="117"/>
      <x:c r="U150" s="117"/>
      <x:c r="V150" s="117"/>
      <x:c r="W150" s="117"/>
      <x:c r="X150" s="117"/>
      <x:c r="Y150" s="117"/>
    </x:row>
    <x:row r="151">
      <x:c r="A151" s="117"/>
      <x:c r="B151" s="117"/>
      <x:c r="C151" s="117"/>
      <x:c r="D151" s="117"/>
      <x:c r="E151" s="117"/>
      <x:c r="F151" s="117"/>
      <x:c r="G151" s="117"/>
      <x:c r="H151" s="117"/>
      <x:c r="I151" s="117"/>
      <x:c r="J151" s="117"/>
      <x:c r="K151" s="117"/>
      <x:c r="L151" s="117"/>
      <x:c r="M151" s="117"/>
      <x:c r="N151" s="161"/>
      <x:c r="O151" s="117"/>
      <x:c r="P151" s="117"/>
      <x:c r="Q151" s="117"/>
      <x:c r="R151" s="117"/>
      <x:c r="S151" s="117"/>
      <x:c r="T151" s="117"/>
      <x:c r="U151" s="117"/>
      <x:c r="V151" s="117"/>
      <x:c r="W151" s="117"/>
      <x:c r="X151" s="117"/>
      <x:c r="Y151" s="117"/>
    </x:row>
    <x:row r="152">
      <x:c r="A152" s="117"/>
      <x:c r="B152" s="117"/>
      <x:c r="C152" s="117"/>
      <x:c r="D152" s="117"/>
      <x:c r="E152" s="117"/>
      <x:c r="F152" s="117"/>
      <x:c r="G152" s="117"/>
      <x:c r="H152" s="117"/>
      <x:c r="I152" s="117"/>
      <x:c r="J152" s="117"/>
      <x:c r="K152" s="117"/>
      <x:c r="L152" s="117"/>
      <x:c r="M152" s="117"/>
      <x:c r="N152" s="161"/>
      <x:c r="O152" s="117"/>
      <x:c r="P152" s="117"/>
      <x:c r="Q152" s="117"/>
      <x:c r="R152" s="117"/>
      <x:c r="S152" s="117"/>
      <x:c r="T152" s="117"/>
      <x:c r="U152" s="117"/>
      <x:c r="V152" s="117"/>
      <x:c r="W152" s="117"/>
      <x:c r="X152" s="117"/>
      <x:c r="Y152" s="117"/>
    </x:row>
    <x:row r="153">
      <x:c r="A153" s="117"/>
      <x:c r="B153" s="117"/>
      <x:c r="C153" s="117"/>
      <x:c r="D153" s="117"/>
      <x:c r="E153" s="117"/>
      <x:c r="F153" s="117"/>
      <x:c r="G153" s="117"/>
      <x:c r="H153" s="117"/>
      <x:c r="I153" s="117"/>
      <x:c r="J153" s="117"/>
      <x:c r="K153" s="117"/>
      <x:c r="L153" s="117"/>
      <x:c r="M153" s="117"/>
      <x:c r="N153" s="161"/>
      <x:c r="O153" s="117"/>
      <x:c r="P153" s="117"/>
      <x:c r="Q153" s="117"/>
      <x:c r="R153" s="117"/>
      <x:c r="S153" s="117"/>
      <x:c r="T153" s="117"/>
      <x:c r="U153" s="117"/>
      <x:c r="V153" s="117"/>
      <x:c r="W153" s="117"/>
      <x:c r="X153" s="117"/>
      <x:c r="Y153" s="117"/>
    </x:row>
    <x:row r="154">
      <x:c r="A154" s="117"/>
      <x:c r="B154" s="117"/>
      <x:c r="C154" s="117"/>
      <x:c r="D154" s="117"/>
      <x:c r="E154" s="117"/>
      <x:c r="F154" s="117"/>
      <x:c r="G154" s="117"/>
      <x:c r="H154" s="117"/>
      <x:c r="I154" s="117"/>
      <x:c r="J154" s="117"/>
      <x:c r="K154" s="117"/>
      <x:c r="L154" s="117"/>
      <x:c r="M154" s="117"/>
      <x:c r="N154" s="161"/>
      <x:c r="O154" s="117"/>
      <x:c r="P154" s="117"/>
      <x:c r="Q154" s="117"/>
      <x:c r="R154" s="117"/>
      <x:c r="S154" s="117"/>
      <x:c r="T154" s="117"/>
      <x:c r="U154" s="117"/>
      <x:c r="V154" s="117"/>
      <x:c r="W154" s="117"/>
      <x:c r="X154" s="117"/>
      <x:c r="Y154" s="117"/>
    </x:row>
    <x:row r="155">
      <x:c r="A155" s="117"/>
      <x:c r="B155" s="117"/>
      <x:c r="C155" s="117"/>
      <x:c r="D155" s="117"/>
      <x:c r="E155" s="117"/>
      <x:c r="F155" s="117"/>
      <x:c r="G155" s="117"/>
      <x:c r="H155" s="117"/>
      <x:c r="I155" s="117"/>
      <x:c r="J155" s="117"/>
      <x:c r="K155" s="117"/>
      <x:c r="L155" s="117"/>
      <x:c r="M155" s="117"/>
      <x:c r="N155" s="161"/>
      <x:c r="O155" s="117"/>
      <x:c r="P155" s="117"/>
      <x:c r="Q155" s="117"/>
      <x:c r="R155" s="117"/>
      <x:c r="S155" s="117"/>
      <x:c r="T155" s="117"/>
      <x:c r="U155" s="117"/>
      <x:c r="V155" s="117"/>
      <x:c r="W155" s="117"/>
      <x:c r="X155" s="117"/>
      <x:c r="Y155" s="117"/>
    </x:row>
    <x:row r="156">
      <x:c r="A156" s="117"/>
      <x:c r="B156" s="117"/>
      <x:c r="C156" s="117"/>
      <x:c r="D156" s="117"/>
      <x:c r="E156" s="117"/>
      <x:c r="F156" s="117"/>
      <x:c r="G156" s="117"/>
      <x:c r="H156" s="117"/>
      <x:c r="I156" s="117"/>
      <x:c r="J156" s="117"/>
      <x:c r="K156" s="117"/>
      <x:c r="L156" s="117"/>
      <x:c r="M156" s="117"/>
      <x:c r="N156" s="161"/>
      <x:c r="O156" s="117"/>
      <x:c r="P156" s="117"/>
      <x:c r="Q156" s="117"/>
      <x:c r="R156" s="117"/>
      <x:c r="S156" s="117"/>
      <x:c r="T156" s="117"/>
      <x:c r="U156" s="117"/>
      <x:c r="V156" s="117"/>
      <x:c r="W156" s="117"/>
      <x:c r="X156" s="117"/>
      <x:c r="Y156" s="117"/>
    </x:row>
    <x:row r="157">
      <x:c r="A157" s="117"/>
      <x:c r="B157" s="117"/>
      <x:c r="C157" s="117"/>
      <x:c r="D157" s="117"/>
      <x:c r="E157" s="117"/>
      <x:c r="F157" s="117"/>
      <x:c r="G157" s="117"/>
      <x:c r="H157" s="117"/>
      <x:c r="I157" s="117"/>
      <x:c r="J157" s="117"/>
      <x:c r="K157" s="117"/>
      <x:c r="L157" s="117"/>
      <x:c r="M157" s="117"/>
      <x:c r="N157" s="161"/>
      <x:c r="O157" s="117"/>
      <x:c r="P157" s="117"/>
      <x:c r="Q157" s="117"/>
      <x:c r="R157" s="117"/>
      <x:c r="S157" s="117"/>
      <x:c r="T157" s="117"/>
      <x:c r="U157" s="117"/>
      <x:c r="V157" s="117"/>
      <x:c r="W157" s="117"/>
      <x:c r="X157" s="117"/>
      <x:c r="Y157" s="117"/>
    </x:row>
    <x:row r="158">
      <x:c r="A158" s="117"/>
      <x:c r="B158" s="117"/>
      <x:c r="C158" s="117"/>
      <x:c r="D158" s="117"/>
      <x:c r="E158" s="117"/>
      <x:c r="F158" s="117"/>
      <x:c r="G158" s="117"/>
      <x:c r="H158" s="117"/>
      <x:c r="I158" s="117"/>
      <x:c r="J158" s="117"/>
      <x:c r="K158" s="117"/>
      <x:c r="L158" s="117"/>
      <x:c r="M158" s="117"/>
      <x:c r="N158" s="161"/>
      <x:c r="O158" s="117"/>
      <x:c r="P158" s="117"/>
      <x:c r="Q158" s="117"/>
      <x:c r="R158" s="117"/>
      <x:c r="S158" s="117"/>
      <x:c r="T158" s="117"/>
      <x:c r="U158" s="117"/>
      <x:c r="V158" s="117"/>
      <x:c r="W158" s="117"/>
      <x:c r="X158" s="117"/>
      <x:c r="Y158" s="117"/>
    </x:row>
    <x:row r="159">
      <x:c r="A159" s="117"/>
      <x:c r="B159" s="117"/>
      <x:c r="C159" s="117"/>
      <x:c r="D159" s="117"/>
      <x:c r="E159" s="117"/>
      <x:c r="F159" s="117"/>
      <x:c r="G159" s="117"/>
      <x:c r="H159" s="117"/>
      <x:c r="I159" s="117"/>
      <x:c r="J159" s="117"/>
      <x:c r="K159" s="117"/>
      <x:c r="L159" s="117"/>
      <x:c r="M159" s="117"/>
      <x:c r="N159" s="161"/>
      <x:c r="O159" s="117"/>
      <x:c r="P159" s="117"/>
      <x:c r="Q159" s="117"/>
      <x:c r="R159" s="117"/>
      <x:c r="S159" s="117"/>
      <x:c r="T159" s="117"/>
      <x:c r="U159" s="117"/>
      <x:c r="V159" s="117"/>
      <x:c r="W159" s="117"/>
      <x:c r="X159" s="117"/>
      <x:c r="Y159" s="117"/>
    </x:row>
    <x:row r="160">
      <x:c r="A160" s="117"/>
      <x:c r="B160" s="117"/>
      <x:c r="C160" s="117"/>
      <x:c r="D160" s="117"/>
      <x:c r="E160" s="117"/>
      <x:c r="F160" s="117"/>
      <x:c r="G160" s="117"/>
      <x:c r="H160" s="117"/>
      <x:c r="I160" s="117"/>
      <x:c r="J160" s="117"/>
      <x:c r="K160" s="117"/>
      <x:c r="L160" s="117"/>
      <x:c r="M160" s="117"/>
      <x:c r="N160" s="161"/>
      <x:c r="O160" s="117"/>
      <x:c r="P160" s="117"/>
      <x:c r="Q160" s="117"/>
      <x:c r="R160" s="117"/>
      <x:c r="S160" s="117"/>
      <x:c r="T160" s="117"/>
      <x:c r="U160" s="117"/>
      <x:c r="V160" s="117"/>
      <x:c r="W160" s="117"/>
      <x:c r="X160" s="117"/>
      <x:c r="Y160" s="117"/>
    </x:row>
    <x:row r="161">
      <x:c r="A161" s="117"/>
      <x:c r="B161" s="117"/>
      <x:c r="C161" s="117"/>
      <x:c r="D161" s="117"/>
      <x:c r="E161" s="117"/>
      <x:c r="F161" s="117"/>
      <x:c r="G161" s="117"/>
      <x:c r="H161" s="117"/>
      <x:c r="I161" s="117"/>
      <x:c r="J161" s="117"/>
      <x:c r="K161" s="117"/>
      <x:c r="L161" s="117"/>
      <x:c r="M161" s="117"/>
      <x:c r="N161" s="161"/>
      <x:c r="O161" s="117"/>
      <x:c r="P161" s="117"/>
      <x:c r="Q161" s="117"/>
      <x:c r="R161" s="117"/>
      <x:c r="S161" s="117"/>
      <x:c r="T161" s="117"/>
      <x:c r="U161" s="117"/>
      <x:c r="V161" s="117"/>
      <x:c r="W161" s="117"/>
      <x:c r="X161" s="117"/>
      <x:c r="Y161" s="117"/>
    </x:row>
    <x:row r="162">
      <x:c r="A162" s="117"/>
      <x:c r="B162" s="117"/>
      <x:c r="C162" s="117"/>
      <x:c r="D162" s="117"/>
      <x:c r="E162" s="117"/>
      <x:c r="F162" s="117"/>
      <x:c r="G162" s="117"/>
      <x:c r="H162" s="117"/>
      <x:c r="I162" s="117"/>
      <x:c r="J162" s="117"/>
      <x:c r="K162" s="117"/>
      <x:c r="L162" s="117"/>
      <x:c r="M162" s="117"/>
      <x:c r="N162" s="161"/>
      <x:c r="O162" s="117"/>
      <x:c r="P162" s="117"/>
      <x:c r="Q162" s="117"/>
      <x:c r="R162" s="117"/>
      <x:c r="S162" s="117"/>
      <x:c r="T162" s="117"/>
      <x:c r="U162" s="117"/>
      <x:c r="V162" s="117"/>
      <x:c r="W162" s="117"/>
      <x:c r="X162" s="117"/>
      <x:c r="Y162" s="117"/>
    </x:row>
    <x:row r="163">
      <x:c r="A163" s="117"/>
      <x:c r="B163" s="117"/>
      <x:c r="C163" s="117"/>
      <x:c r="D163" s="117"/>
      <x:c r="E163" s="117"/>
      <x:c r="F163" s="117"/>
      <x:c r="G163" s="117"/>
      <x:c r="H163" s="117"/>
      <x:c r="I163" s="117"/>
      <x:c r="J163" s="117"/>
      <x:c r="K163" s="117"/>
      <x:c r="L163" s="117"/>
      <x:c r="M163" s="117"/>
      <x:c r="N163" s="161"/>
      <x:c r="O163" s="117"/>
      <x:c r="P163" s="117"/>
      <x:c r="Q163" s="117"/>
      <x:c r="R163" s="117"/>
      <x:c r="S163" s="117"/>
      <x:c r="T163" s="117"/>
      <x:c r="U163" s="117"/>
      <x:c r="V163" s="117"/>
      <x:c r="W163" s="117"/>
      <x:c r="X163" s="117"/>
      <x:c r="Y163" s="117"/>
    </x:row>
    <x:row r="164">
      <x:c r="A164" s="117"/>
      <x:c r="B164" s="117"/>
      <x:c r="C164" s="117"/>
      <x:c r="D164" s="117"/>
      <x:c r="E164" s="117"/>
      <x:c r="F164" s="117"/>
      <x:c r="G164" s="117"/>
      <x:c r="H164" s="117"/>
      <x:c r="I164" s="117"/>
      <x:c r="J164" s="117"/>
      <x:c r="K164" s="117"/>
      <x:c r="L164" s="117"/>
      <x:c r="M164" s="117"/>
      <x:c r="N164" s="161"/>
      <x:c r="O164" s="117"/>
      <x:c r="P164" s="117"/>
      <x:c r="Q164" s="117"/>
      <x:c r="R164" s="117"/>
      <x:c r="S164" s="117"/>
      <x:c r="T164" s="117"/>
      <x:c r="U164" s="117"/>
      <x:c r="V164" s="117"/>
      <x:c r="W164" s="117"/>
      <x:c r="X164" s="117"/>
      <x:c r="Y164" s="117"/>
    </x:row>
    <x:row r="165">
      <x:c r="A165" s="117"/>
      <x:c r="B165" s="117"/>
      <x:c r="C165" s="117"/>
      <x:c r="D165" s="117"/>
      <x:c r="E165" s="117"/>
      <x:c r="F165" s="117"/>
      <x:c r="G165" s="117"/>
      <x:c r="H165" s="117"/>
      <x:c r="I165" s="117"/>
      <x:c r="J165" s="117"/>
      <x:c r="K165" s="117"/>
      <x:c r="L165" s="117"/>
      <x:c r="M165" s="117"/>
      <x:c r="N165" s="161"/>
      <x:c r="O165" s="117"/>
      <x:c r="P165" s="117"/>
      <x:c r="Q165" s="117"/>
      <x:c r="R165" s="117"/>
      <x:c r="S165" s="117"/>
      <x:c r="T165" s="117"/>
      <x:c r="U165" s="117"/>
      <x:c r="V165" s="117"/>
      <x:c r="W165" s="117"/>
      <x:c r="X165" s="117"/>
      <x:c r="Y165" s="117"/>
    </x:row>
    <x:row r="166">
      <x:c r="A166" s="117"/>
      <x:c r="B166" s="117"/>
      <x:c r="C166" s="117"/>
      <x:c r="D166" s="117"/>
      <x:c r="E166" s="117"/>
      <x:c r="F166" s="117"/>
      <x:c r="G166" s="117"/>
      <x:c r="H166" s="117"/>
      <x:c r="I166" s="117"/>
      <x:c r="J166" s="117"/>
      <x:c r="K166" s="117"/>
      <x:c r="L166" s="117"/>
      <x:c r="M166" s="117"/>
      <x:c r="N166" s="161"/>
      <x:c r="O166" s="117"/>
      <x:c r="P166" s="117"/>
      <x:c r="Q166" s="117"/>
      <x:c r="R166" s="117"/>
      <x:c r="S166" s="117"/>
      <x:c r="T166" s="117"/>
      <x:c r="U166" s="117"/>
      <x:c r="V166" s="117"/>
      <x:c r="W166" s="117"/>
      <x:c r="X166" s="117"/>
      <x:c r="Y166" s="117"/>
    </x:row>
    <x:row r="167">
      <x:c r="A167" s="117"/>
      <x:c r="B167" s="117"/>
      <x:c r="C167" s="117"/>
      <x:c r="D167" s="117"/>
      <x:c r="E167" s="117"/>
      <x:c r="F167" s="117"/>
      <x:c r="G167" s="117"/>
      <x:c r="H167" s="117"/>
      <x:c r="I167" s="117"/>
      <x:c r="J167" s="117"/>
      <x:c r="K167" s="117"/>
      <x:c r="L167" s="117"/>
      <x:c r="M167" s="117"/>
      <x:c r="N167" s="161"/>
      <x:c r="O167" s="117"/>
      <x:c r="P167" s="117"/>
      <x:c r="Q167" s="117"/>
      <x:c r="R167" s="117"/>
      <x:c r="S167" s="117"/>
      <x:c r="T167" s="117"/>
      <x:c r="U167" s="117"/>
      <x:c r="V167" s="117"/>
      <x:c r="W167" s="117"/>
      <x:c r="X167" s="117"/>
      <x:c r="Y167" s="117"/>
    </x:row>
    <x:row r="168">
      <x:c r="A168" s="117"/>
      <x:c r="B168" s="117"/>
      <x:c r="C168" s="117"/>
      <x:c r="D168" s="117"/>
      <x:c r="E168" s="117"/>
      <x:c r="F168" s="117"/>
      <x:c r="G168" s="117"/>
      <x:c r="H168" s="117"/>
      <x:c r="I168" s="117"/>
      <x:c r="J168" s="117"/>
      <x:c r="K168" s="117"/>
      <x:c r="L168" s="117"/>
      <x:c r="M168" s="117"/>
      <x:c r="N168" s="161"/>
      <x:c r="O168" s="117"/>
      <x:c r="P168" s="117"/>
      <x:c r="Q168" s="117"/>
      <x:c r="R168" s="117"/>
      <x:c r="S168" s="117"/>
      <x:c r="T168" s="117"/>
      <x:c r="U168" s="117"/>
      <x:c r="V168" s="117"/>
      <x:c r="W168" s="117"/>
      <x:c r="X168" s="117"/>
      <x:c r="Y168" s="117"/>
    </x:row>
    <x:row r="169">
      <x:c r="A169" s="117"/>
      <x:c r="B169" s="117"/>
      <x:c r="C169" s="117"/>
      <x:c r="D169" s="117"/>
      <x:c r="E169" s="117"/>
      <x:c r="F169" s="117"/>
      <x:c r="G169" s="117"/>
      <x:c r="H169" s="117"/>
      <x:c r="I169" s="117"/>
      <x:c r="J169" s="117"/>
      <x:c r="K169" s="117"/>
      <x:c r="L169" s="117"/>
      <x:c r="M169" s="117"/>
      <x:c r="N169" s="161"/>
      <x:c r="O169" s="117"/>
      <x:c r="P169" s="117"/>
      <x:c r="Q169" s="117"/>
      <x:c r="R169" s="117"/>
      <x:c r="S169" s="117"/>
      <x:c r="T169" s="117"/>
      <x:c r="U169" s="117"/>
      <x:c r="V169" s="117"/>
      <x:c r="W169" s="117"/>
      <x:c r="X169" s="117"/>
      <x:c r="Y169" s="117"/>
    </x:row>
    <x:row r="170">
      <x:c r="A170" s="117"/>
      <x:c r="B170" s="117"/>
      <x:c r="C170" s="117"/>
      <x:c r="D170" s="117"/>
      <x:c r="E170" s="117"/>
      <x:c r="F170" s="117"/>
      <x:c r="G170" s="117"/>
      <x:c r="H170" s="117"/>
      <x:c r="I170" s="117"/>
      <x:c r="J170" s="117"/>
      <x:c r="K170" s="117"/>
      <x:c r="L170" s="117"/>
      <x:c r="M170" s="117"/>
      <x:c r="N170" s="161"/>
      <x:c r="O170" s="117"/>
      <x:c r="P170" s="117"/>
      <x:c r="Q170" s="117"/>
      <x:c r="R170" s="117"/>
      <x:c r="S170" s="117"/>
      <x:c r="T170" s="117"/>
      <x:c r="U170" s="117"/>
      <x:c r="V170" s="117"/>
      <x:c r="W170" s="117"/>
      <x:c r="X170" s="117"/>
      <x:c r="Y170" s="117"/>
    </x:row>
    <x:row r="171">
      <x:c r="A171" s="117"/>
      <x:c r="B171" s="117"/>
      <x:c r="C171" s="117"/>
      <x:c r="D171" s="117"/>
      <x:c r="E171" s="117"/>
      <x:c r="F171" s="117"/>
      <x:c r="G171" s="117"/>
      <x:c r="H171" s="117"/>
      <x:c r="I171" s="117"/>
      <x:c r="J171" s="117"/>
      <x:c r="K171" s="117"/>
      <x:c r="L171" s="117"/>
      <x:c r="M171" s="117"/>
      <x:c r="N171" s="161"/>
      <x:c r="O171" s="117"/>
      <x:c r="P171" s="117"/>
      <x:c r="Q171" s="117"/>
      <x:c r="R171" s="117"/>
      <x:c r="S171" s="117"/>
      <x:c r="T171" s="117"/>
      <x:c r="U171" s="117"/>
      <x:c r="V171" s="117"/>
      <x:c r="W171" s="117"/>
      <x:c r="X171" s="117"/>
      <x:c r="Y171" s="117"/>
    </x:row>
    <x:row r="172">
      <x:c r="A172" s="117"/>
      <x:c r="B172" s="117"/>
      <x:c r="C172" s="117"/>
      <x:c r="D172" s="117"/>
      <x:c r="E172" s="117"/>
      <x:c r="F172" s="117"/>
      <x:c r="G172" s="117"/>
      <x:c r="H172" s="117"/>
      <x:c r="I172" s="117"/>
      <x:c r="J172" s="117"/>
      <x:c r="K172" s="117"/>
      <x:c r="L172" s="117"/>
      <x:c r="M172" s="117"/>
      <x:c r="N172" s="161"/>
      <x:c r="O172" s="117"/>
      <x:c r="P172" s="117"/>
      <x:c r="Q172" s="117"/>
      <x:c r="R172" s="117"/>
      <x:c r="S172" s="117"/>
      <x:c r="T172" s="117"/>
      <x:c r="U172" s="117"/>
      <x:c r="V172" s="117"/>
      <x:c r="W172" s="117"/>
      <x:c r="X172" s="117"/>
      <x:c r="Y172" s="117"/>
    </x:row>
    <x:row r="173">
      <x:c r="A173" s="117"/>
      <x:c r="B173" s="117"/>
      <x:c r="C173" s="117"/>
      <x:c r="D173" s="117"/>
      <x:c r="E173" s="117"/>
      <x:c r="F173" s="117"/>
      <x:c r="G173" s="117"/>
      <x:c r="H173" s="117"/>
      <x:c r="I173" s="117"/>
      <x:c r="J173" s="117"/>
      <x:c r="K173" s="117"/>
      <x:c r="L173" s="117"/>
      <x:c r="M173" s="117"/>
      <x:c r="N173" s="161"/>
      <x:c r="O173" s="117"/>
      <x:c r="P173" s="117"/>
      <x:c r="Q173" s="117"/>
      <x:c r="R173" s="117"/>
      <x:c r="S173" s="117"/>
      <x:c r="T173" s="117"/>
      <x:c r="U173" s="117"/>
      <x:c r="V173" s="117"/>
      <x:c r="W173" s="117"/>
      <x:c r="X173" s="117"/>
      <x:c r="Y173" s="117"/>
    </x:row>
    <x:row r="174">
      <x:c r="A174" s="117"/>
      <x:c r="B174" s="117"/>
      <x:c r="C174" s="117"/>
      <x:c r="D174" s="117"/>
      <x:c r="E174" s="117"/>
      <x:c r="F174" s="117"/>
      <x:c r="G174" s="117"/>
      <x:c r="H174" s="117"/>
      <x:c r="I174" s="117"/>
      <x:c r="J174" s="117"/>
      <x:c r="K174" s="117"/>
      <x:c r="L174" s="117"/>
      <x:c r="M174" s="117"/>
      <x:c r="N174" s="161"/>
      <x:c r="O174" s="117"/>
      <x:c r="P174" s="117"/>
      <x:c r="Q174" s="117"/>
      <x:c r="R174" s="117"/>
      <x:c r="S174" s="117"/>
      <x:c r="T174" s="117"/>
      <x:c r="U174" s="117"/>
      <x:c r="V174" s="117"/>
      <x:c r="W174" s="117"/>
      <x:c r="X174" s="117"/>
      <x:c r="Y174" s="117"/>
    </x:row>
    <x:row r="175">
      <x:c r="A175" s="117"/>
      <x:c r="B175" s="117"/>
      <x:c r="C175" s="117"/>
      <x:c r="D175" s="117"/>
      <x:c r="E175" s="117"/>
      <x:c r="F175" s="117"/>
      <x:c r="G175" s="117"/>
      <x:c r="H175" s="117"/>
      <x:c r="I175" s="117"/>
      <x:c r="J175" s="117"/>
      <x:c r="K175" s="117"/>
      <x:c r="L175" s="117"/>
      <x:c r="M175" s="117"/>
      <x:c r="N175" s="161"/>
      <x:c r="O175" s="117"/>
      <x:c r="P175" s="117"/>
      <x:c r="Q175" s="117"/>
      <x:c r="R175" s="117"/>
      <x:c r="S175" s="117"/>
      <x:c r="T175" s="117"/>
      <x:c r="U175" s="117"/>
      <x:c r="V175" s="117"/>
      <x:c r="W175" s="117"/>
      <x:c r="X175" s="117"/>
      <x:c r="Y175" s="117"/>
    </x:row>
    <x:row r="176">
      <x:c r="A176" s="117"/>
      <x:c r="B176" s="117"/>
      <x:c r="C176" s="117"/>
      <x:c r="D176" s="117"/>
      <x:c r="E176" s="117"/>
      <x:c r="F176" s="117"/>
      <x:c r="G176" s="117"/>
      <x:c r="H176" s="117"/>
      <x:c r="I176" s="117"/>
      <x:c r="J176" s="117"/>
      <x:c r="K176" s="117"/>
      <x:c r="L176" s="117"/>
      <x:c r="M176" s="117"/>
      <x:c r="N176" s="161"/>
      <x:c r="O176" s="117"/>
      <x:c r="P176" s="117"/>
      <x:c r="Q176" s="117"/>
      <x:c r="R176" s="117"/>
      <x:c r="S176" s="117"/>
      <x:c r="T176" s="117"/>
      <x:c r="U176" s="117"/>
      <x:c r="V176" s="117"/>
      <x:c r="W176" s="117"/>
      <x:c r="X176" s="117"/>
      <x:c r="Y176" s="117"/>
    </x:row>
    <x:row r="177">
      <x:c r="A177" s="117"/>
      <x:c r="B177" s="117"/>
      <x:c r="C177" s="117"/>
      <x:c r="D177" s="117"/>
      <x:c r="E177" s="117"/>
      <x:c r="F177" s="117"/>
      <x:c r="G177" s="117"/>
      <x:c r="H177" s="117"/>
      <x:c r="I177" s="117"/>
      <x:c r="J177" s="117"/>
      <x:c r="K177" s="117"/>
      <x:c r="L177" s="117"/>
      <x:c r="M177" s="117"/>
      <x:c r="N177" s="161"/>
      <x:c r="O177" s="117"/>
      <x:c r="P177" s="117"/>
      <x:c r="Q177" s="117"/>
      <x:c r="R177" s="117"/>
      <x:c r="S177" s="117"/>
      <x:c r="T177" s="117"/>
      <x:c r="U177" s="117"/>
      <x:c r="V177" s="117"/>
      <x:c r="W177" s="117"/>
      <x:c r="X177" s="117"/>
      <x:c r="Y177" s="117"/>
    </x:row>
    <x:row r="178">
      <x:c r="A178" s="117"/>
      <x:c r="B178" s="117"/>
      <x:c r="C178" s="117"/>
      <x:c r="D178" s="117"/>
      <x:c r="E178" s="117"/>
      <x:c r="F178" s="117"/>
      <x:c r="G178" s="117"/>
      <x:c r="H178" s="117"/>
      <x:c r="I178" s="117"/>
      <x:c r="J178" s="117"/>
      <x:c r="K178" s="117"/>
      <x:c r="L178" s="117"/>
      <x:c r="M178" s="117"/>
      <x:c r="N178" s="161"/>
      <x:c r="O178" s="117"/>
      <x:c r="P178" s="117"/>
      <x:c r="Q178" s="117"/>
      <x:c r="R178" s="117"/>
      <x:c r="S178" s="117"/>
      <x:c r="T178" s="117"/>
      <x:c r="U178" s="117"/>
      <x:c r="V178" s="117"/>
      <x:c r="W178" s="117"/>
      <x:c r="X178" s="117"/>
      <x:c r="Y178" s="117"/>
    </x:row>
    <x:row r="179">
      <x:c r="A179" s="117"/>
      <x:c r="B179" s="117"/>
      <x:c r="C179" s="117"/>
      <x:c r="D179" s="117"/>
      <x:c r="E179" s="117"/>
      <x:c r="F179" s="117"/>
      <x:c r="G179" s="117"/>
      <x:c r="H179" s="117"/>
      <x:c r="I179" s="117"/>
      <x:c r="J179" s="117"/>
      <x:c r="K179" s="117"/>
      <x:c r="L179" s="117"/>
      <x:c r="M179" s="117"/>
      <x:c r="N179" s="161"/>
      <x:c r="O179" s="117"/>
      <x:c r="P179" s="117"/>
      <x:c r="Q179" s="117"/>
      <x:c r="R179" s="117"/>
      <x:c r="S179" s="117"/>
      <x:c r="T179" s="117"/>
      <x:c r="U179" s="117"/>
      <x:c r="V179" s="117"/>
      <x:c r="W179" s="117"/>
      <x:c r="X179" s="117"/>
      <x:c r="Y179" s="117"/>
    </x:row>
    <x:row r="180">
      <x:c r="A180" s="117"/>
      <x:c r="B180" s="117"/>
      <x:c r="C180" s="117"/>
      <x:c r="D180" s="117"/>
      <x:c r="E180" s="117"/>
      <x:c r="F180" s="117"/>
      <x:c r="G180" s="117"/>
      <x:c r="H180" s="117"/>
      <x:c r="I180" s="117"/>
      <x:c r="J180" s="117"/>
      <x:c r="K180" s="117"/>
      <x:c r="L180" s="117"/>
      <x:c r="M180" s="117"/>
      <x:c r="N180" s="161"/>
      <x:c r="O180" s="117"/>
      <x:c r="P180" s="117"/>
      <x:c r="Q180" s="117"/>
      <x:c r="R180" s="117"/>
      <x:c r="S180" s="117"/>
      <x:c r="T180" s="117"/>
      <x:c r="U180" s="117"/>
      <x:c r="V180" s="117"/>
      <x:c r="W180" s="117"/>
      <x:c r="X180" s="117"/>
      <x:c r="Y180" s="117"/>
    </x:row>
    <x:row r="181">
      <x:c r="A181" s="117"/>
      <x:c r="B181" s="117"/>
      <x:c r="C181" s="117"/>
      <x:c r="D181" s="117"/>
      <x:c r="E181" s="117"/>
      <x:c r="F181" s="117"/>
      <x:c r="G181" s="117"/>
      <x:c r="H181" s="117"/>
      <x:c r="I181" s="117"/>
      <x:c r="J181" s="117"/>
      <x:c r="K181" s="117"/>
      <x:c r="L181" s="117"/>
      <x:c r="M181" s="117"/>
      <x:c r="N181" s="161"/>
      <x:c r="O181" s="117"/>
      <x:c r="P181" s="117"/>
      <x:c r="Q181" s="117"/>
      <x:c r="R181" s="117"/>
      <x:c r="S181" s="117"/>
      <x:c r="T181" s="117"/>
      <x:c r="U181" s="117"/>
      <x:c r="V181" s="117"/>
      <x:c r="W181" s="117"/>
      <x:c r="X181" s="117"/>
      <x:c r="Y181" s="117"/>
    </x:row>
    <x:row r="182">
      <x:c r="A182" s="117"/>
      <x:c r="B182" s="117"/>
      <x:c r="C182" s="117"/>
      <x:c r="D182" s="117"/>
      <x:c r="E182" s="117"/>
      <x:c r="F182" s="117"/>
      <x:c r="G182" s="117"/>
      <x:c r="H182" s="117"/>
      <x:c r="I182" s="117"/>
      <x:c r="J182" s="117"/>
      <x:c r="K182" s="117"/>
      <x:c r="L182" s="117"/>
      <x:c r="M182" s="117"/>
      <x:c r="N182" s="161"/>
      <x:c r="O182" s="117"/>
      <x:c r="P182" s="117"/>
      <x:c r="Q182" s="117"/>
      <x:c r="R182" s="117"/>
      <x:c r="S182" s="117"/>
      <x:c r="T182" s="117"/>
      <x:c r="U182" s="117"/>
      <x:c r="V182" s="117"/>
      <x:c r="W182" s="117"/>
      <x:c r="X182" s="117"/>
      <x:c r="Y182" s="117"/>
    </x:row>
    <x:row r="183">
      <x:c r="A183" s="117"/>
      <x:c r="B183" s="117"/>
      <x:c r="C183" s="117"/>
      <x:c r="D183" s="117"/>
      <x:c r="E183" s="117"/>
      <x:c r="F183" s="117"/>
      <x:c r="G183" s="117"/>
      <x:c r="H183" s="117"/>
      <x:c r="I183" s="117"/>
      <x:c r="J183" s="117"/>
      <x:c r="K183" s="117"/>
      <x:c r="L183" s="117"/>
      <x:c r="M183" s="117"/>
      <x:c r="N183" s="161"/>
      <x:c r="O183" s="117"/>
      <x:c r="P183" s="117"/>
      <x:c r="Q183" s="117"/>
      <x:c r="R183" s="117"/>
      <x:c r="S183" s="117"/>
      <x:c r="T183" s="117"/>
      <x:c r="U183" s="117"/>
      <x:c r="V183" s="117"/>
      <x:c r="W183" s="117"/>
      <x:c r="X183" s="117"/>
      <x:c r="Y183" s="117"/>
    </x:row>
    <x:row r="184">
      <x:c r="A184" s="117"/>
      <x:c r="B184" s="117"/>
      <x:c r="C184" s="117"/>
      <x:c r="D184" s="117"/>
      <x:c r="E184" s="117"/>
      <x:c r="F184" s="117"/>
      <x:c r="G184" s="117"/>
      <x:c r="H184" s="117"/>
      <x:c r="I184" s="117"/>
      <x:c r="J184" s="117"/>
      <x:c r="K184" s="117"/>
      <x:c r="L184" s="117"/>
      <x:c r="M184" s="117"/>
      <x:c r="N184" s="161"/>
      <x:c r="O184" s="117"/>
      <x:c r="P184" s="117"/>
      <x:c r="Q184" s="117"/>
      <x:c r="R184" s="117"/>
      <x:c r="S184" s="117"/>
      <x:c r="T184" s="117"/>
      <x:c r="U184" s="117"/>
      <x:c r="V184" s="117"/>
      <x:c r="W184" s="117"/>
      <x:c r="X184" s="117"/>
      <x:c r="Y184" s="117"/>
    </x:row>
    <x:row r="185">
      <x:c r="A185" s="117"/>
      <x:c r="B185" s="117"/>
      <x:c r="C185" s="117"/>
      <x:c r="D185" s="117"/>
      <x:c r="E185" s="117"/>
      <x:c r="F185" s="117"/>
      <x:c r="G185" s="117"/>
      <x:c r="H185" s="117"/>
      <x:c r="I185" s="117"/>
      <x:c r="J185" s="117"/>
      <x:c r="K185" s="117"/>
      <x:c r="L185" s="117"/>
      <x:c r="M185" s="117"/>
      <x:c r="N185" s="161"/>
      <x:c r="O185" s="117"/>
      <x:c r="P185" s="117"/>
      <x:c r="Q185" s="117"/>
      <x:c r="R185" s="117"/>
      <x:c r="S185" s="117"/>
      <x:c r="T185" s="117"/>
      <x:c r="U185" s="117"/>
      <x:c r="V185" s="117"/>
      <x:c r="W185" s="117"/>
      <x:c r="X185" s="117"/>
      <x:c r="Y185" s="117"/>
    </x:row>
    <x:row r="186">
      <x:c r="A186" s="117"/>
      <x:c r="B186" s="117"/>
      <x:c r="C186" s="117"/>
      <x:c r="D186" s="117"/>
      <x:c r="E186" s="117"/>
      <x:c r="F186" s="117"/>
      <x:c r="G186" s="117"/>
      <x:c r="H186" s="117"/>
      <x:c r="I186" s="117"/>
      <x:c r="J186" s="117"/>
      <x:c r="K186" s="117"/>
      <x:c r="L186" s="117"/>
      <x:c r="M186" s="117"/>
      <x:c r="N186" s="161"/>
      <x:c r="O186" s="117"/>
      <x:c r="P186" s="117"/>
      <x:c r="Q186" s="117"/>
      <x:c r="R186" s="117"/>
      <x:c r="S186" s="117"/>
      <x:c r="T186" s="117"/>
      <x:c r="U186" s="117"/>
      <x:c r="V186" s="117"/>
      <x:c r="W186" s="117"/>
      <x:c r="X186" s="117"/>
      <x:c r="Y186" s="117"/>
    </x:row>
    <x:row r="187">
      <x:c r="A187" s="117"/>
      <x:c r="B187" s="117"/>
      <x:c r="C187" s="117"/>
      <x:c r="D187" s="117"/>
      <x:c r="E187" s="117"/>
      <x:c r="F187" s="117"/>
      <x:c r="G187" s="117"/>
      <x:c r="H187" s="117"/>
      <x:c r="I187" s="117"/>
      <x:c r="J187" s="117"/>
      <x:c r="K187" s="117"/>
      <x:c r="L187" s="117"/>
      <x:c r="M187" s="117"/>
      <x:c r="N187" s="161"/>
      <x:c r="O187" s="117"/>
      <x:c r="P187" s="117"/>
      <x:c r="Q187" s="117"/>
      <x:c r="R187" s="117"/>
      <x:c r="S187" s="117"/>
      <x:c r="T187" s="117"/>
      <x:c r="U187" s="117"/>
      <x:c r="V187" s="117"/>
      <x:c r="W187" s="117"/>
      <x:c r="X187" s="117"/>
      <x:c r="Y187" s="117"/>
    </x:row>
    <x:row r="188">
      <x:c r="A188" s="117"/>
      <x:c r="B188" s="117"/>
      <x:c r="C188" s="117"/>
      <x:c r="D188" s="117"/>
      <x:c r="E188" s="117"/>
      <x:c r="F188" s="117"/>
      <x:c r="G188" s="117"/>
      <x:c r="H188" s="117"/>
      <x:c r="I188" s="117"/>
      <x:c r="J188" s="117"/>
      <x:c r="K188" s="117"/>
      <x:c r="L188" s="117"/>
      <x:c r="M188" s="117"/>
      <x:c r="N188" s="161"/>
      <x:c r="O188" s="117"/>
      <x:c r="P188" s="117"/>
      <x:c r="Q188" s="117"/>
      <x:c r="R188" s="117"/>
      <x:c r="S188" s="117"/>
      <x:c r="T188" s="117"/>
      <x:c r="U188" s="117"/>
      <x:c r="V188" s="117"/>
      <x:c r="W188" s="117"/>
      <x:c r="X188" s="117"/>
      <x:c r="Y188" s="117"/>
    </x:row>
    <x:row r="189">
      <x:c r="A189" s="117"/>
      <x:c r="B189" s="117"/>
      <x:c r="C189" s="117"/>
      <x:c r="D189" s="117"/>
      <x:c r="E189" s="117"/>
      <x:c r="F189" s="117"/>
      <x:c r="G189" s="117"/>
      <x:c r="H189" s="117"/>
      <x:c r="I189" s="117"/>
      <x:c r="J189" s="117"/>
      <x:c r="K189" s="117"/>
      <x:c r="L189" s="117"/>
      <x:c r="M189" s="117"/>
      <x:c r="N189" s="161"/>
      <x:c r="O189" s="117"/>
      <x:c r="P189" s="117"/>
      <x:c r="Q189" s="117"/>
      <x:c r="R189" s="117"/>
      <x:c r="S189" s="117"/>
      <x:c r="T189" s="117"/>
      <x:c r="U189" s="117"/>
      <x:c r="V189" s="117"/>
      <x:c r="W189" s="117"/>
      <x:c r="X189" s="117"/>
      <x:c r="Y189" s="117"/>
    </x:row>
    <x:row r="190">
      <x:c r="A190" s="117"/>
      <x:c r="B190" s="117"/>
      <x:c r="C190" s="117"/>
      <x:c r="D190" s="117"/>
      <x:c r="E190" s="117"/>
      <x:c r="F190" s="117"/>
      <x:c r="G190" s="117"/>
      <x:c r="H190" s="117"/>
      <x:c r="I190" s="117"/>
      <x:c r="J190" s="117"/>
      <x:c r="K190" s="117"/>
      <x:c r="L190" s="117"/>
      <x:c r="M190" s="117"/>
      <x:c r="N190" s="161"/>
      <x:c r="O190" s="117"/>
      <x:c r="P190" s="117"/>
      <x:c r="Q190" s="117"/>
      <x:c r="R190" s="117"/>
      <x:c r="S190" s="117"/>
      <x:c r="T190" s="117"/>
      <x:c r="U190" s="117"/>
      <x:c r="V190" s="117"/>
      <x:c r="W190" s="117"/>
      <x:c r="X190" s="117"/>
      <x:c r="Y190" s="117"/>
    </x:row>
    <x:row r="191">
      <x:c r="A191" s="117"/>
      <x:c r="B191" s="117"/>
      <x:c r="C191" s="117"/>
      <x:c r="D191" s="117"/>
      <x:c r="E191" s="117"/>
      <x:c r="F191" s="117"/>
      <x:c r="G191" s="117"/>
      <x:c r="H191" s="117"/>
      <x:c r="I191" s="117"/>
      <x:c r="J191" s="117"/>
      <x:c r="K191" s="117"/>
      <x:c r="L191" s="117"/>
      <x:c r="M191" s="117"/>
      <x:c r="N191" s="161"/>
      <x:c r="O191" s="117"/>
      <x:c r="P191" s="117"/>
      <x:c r="Q191" s="117"/>
      <x:c r="R191" s="117"/>
      <x:c r="S191" s="117"/>
      <x:c r="T191" s="117"/>
      <x:c r="U191" s="117"/>
      <x:c r="V191" s="117"/>
      <x:c r="W191" s="117"/>
      <x:c r="X191" s="117"/>
      <x:c r="Y191" s="117"/>
    </x:row>
    <x:row r="192">
      <x:c r="A192" s="117"/>
      <x:c r="B192" s="117"/>
      <x:c r="C192" s="117"/>
      <x:c r="D192" s="117"/>
      <x:c r="E192" s="117"/>
      <x:c r="F192" s="117"/>
      <x:c r="G192" s="117"/>
      <x:c r="H192" s="117"/>
      <x:c r="I192" s="117"/>
      <x:c r="J192" s="117"/>
      <x:c r="K192" s="117"/>
      <x:c r="L192" s="117"/>
      <x:c r="M192" s="117"/>
      <x:c r="N192" s="161"/>
      <x:c r="O192" s="117"/>
      <x:c r="P192" s="117"/>
      <x:c r="Q192" s="117"/>
      <x:c r="R192" s="117"/>
      <x:c r="S192" s="117"/>
      <x:c r="T192" s="117"/>
      <x:c r="U192" s="117"/>
      <x:c r="V192" s="117"/>
      <x:c r="W192" s="117"/>
      <x:c r="X192" s="117"/>
      <x:c r="Y192" s="117"/>
    </x:row>
    <x:row r="193">
      <x:c r="A193" s="117"/>
      <x:c r="B193" s="117"/>
      <x:c r="C193" s="117"/>
      <x:c r="D193" s="117"/>
      <x:c r="E193" s="117"/>
      <x:c r="F193" s="117"/>
      <x:c r="G193" s="117"/>
      <x:c r="H193" s="117"/>
      <x:c r="I193" s="117"/>
      <x:c r="J193" s="117"/>
      <x:c r="K193" s="117"/>
      <x:c r="L193" s="117"/>
      <x:c r="M193" s="117"/>
      <x:c r="N193" s="161"/>
      <x:c r="O193" s="117"/>
      <x:c r="P193" s="117"/>
      <x:c r="Q193" s="117"/>
      <x:c r="R193" s="117"/>
      <x:c r="S193" s="117"/>
      <x:c r="T193" s="117"/>
      <x:c r="U193" s="117"/>
      <x:c r="V193" s="117"/>
      <x:c r="W193" s="117"/>
      <x:c r="X193" s="117"/>
      <x:c r="Y193" s="117"/>
    </x:row>
    <x:row r="194">
      <x:c r="A194" s="117"/>
      <x:c r="B194" s="117"/>
      <x:c r="C194" s="117"/>
      <x:c r="D194" s="117"/>
      <x:c r="E194" s="117"/>
      <x:c r="F194" s="117"/>
      <x:c r="G194" s="117"/>
      <x:c r="H194" s="117"/>
      <x:c r="I194" s="117"/>
      <x:c r="J194" s="117"/>
      <x:c r="K194" s="117"/>
      <x:c r="L194" s="117"/>
      <x:c r="M194" s="117"/>
      <x:c r="N194" s="161"/>
      <x:c r="O194" s="117"/>
      <x:c r="P194" s="117"/>
      <x:c r="Q194" s="117"/>
      <x:c r="R194" s="117"/>
      <x:c r="S194" s="117"/>
      <x:c r="T194" s="117"/>
      <x:c r="U194" s="117"/>
      <x:c r="V194" s="117"/>
      <x:c r="W194" s="117"/>
      <x:c r="X194" s="117"/>
      <x:c r="Y194" s="117"/>
    </x:row>
    <x:row r="195">
      <x:c r="A195" s="117"/>
      <x:c r="B195" s="117"/>
      <x:c r="C195" s="117"/>
      <x:c r="D195" s="117"/>
      <x:c r="E195" s="117"/>
      <x:c r="F195" s="117"/>
      <x:c r="G195" s="117"/>
      <x:c r="H195" s="117"/>
      <x:c r="I195" s="117"/>
      <x:c r="J195" s="117"/>
      <x:c r="K195" s="117"/>
      <x:c r="L195" s="117"/>
      <x:c r="M195" s="117"/>
      <x:c r="N195" s="161"/>
      <x:c r="O195" s="117"/>
      <x:c r="P195" s="117"/>
      <x:c r="Q195" s="117"/>
      <x:c r="R195" s="117"/>
      <x:c r="S195" s="117"/>
      <x:c r="T195" s="117"/>
      <x:c r="U195" s="117"/>
      <x:c r="V195" s="117"/>
      <x:c r="W195" s="117"/>
      <x:c r="X195" s="117"/>
      <x:c r="Y195" s="117"/>
    </x:row>
    <x:row r="196">
      <x:c r="A196" s="117"/>
      <x:c r="B196" s="117"/>
      <x:c r="C196" s="117"/>
      <x:c r="D196" s="117"/>
      <x:c r="E196" s="117"/>
      <x:c r="F196" s="117"/>
      <x:c r="G196" s="117"/>
      <x:c r="H196" s="117"/>
      <x:c r="I196" s="117"/>
      <x:c r="J196" s="117"/>
      <x:c r="K196" s="117"/>
      <x:c r="L196" s="117"/>
      <x:c r="M196" s="117"/>
      <x:c r="N196" s="161"/>
      <x:c r="O196" s="117"/>
      <x:c r="P196" s="117"/>
      <x:c r="Q196" s="117"/>
      <x:c r="R196" s="117"/>
      <x:c r="S196" s="117"/>
      <x:c r="T196" s="117"/>
      <x:c r="U196" s="117"/>
      <x:c r="V196" s="117"/>
      <x:c r="W196" s="117"/>
      <x:c r="X196" s="117"/>
      <x:c r="Y196" s="117"/>
    </x:row>
    <x:row r="197">
      <x:c r="A197" s="117"/>
      <x:c r="B197" s="117"/>
      <x:c r="C197" s="117"/>
      <x:c r="D197" s="117"/>
      <x:c r="E197" s="117"/>
      <x:c r="F197" s="117"/>
      <x:c r="G197" s="117"/>
      <x:c r="H197" s="117"/>
      <x:c r="I197" s="117"/>
      <x:c r="J197" s="117"/>
      <x:c r="K197" s="117"/>
      <x:c r="L197" s="117"/>
      <x:c r="M197" s="117"/>
      <x:c r="N197" s="161"/>
      <x:c r="O197" s="117"/>
      <x:c r="P197" s="117"/>
      <x:c r="Q197" s="117"/>
      <x:c r="R197" s="117"/>
      <x:c r="S197" s="117"/>
      <x:c r="T197" s="117"/>
      <x:c r="U197" s="117"/>
      <x:c r="V197" s="117"/>
      <x:c r="W197" s="117"/>
      <x:c r="X197" s="117"/>
      <x:c r="Y197" s="117"/>
    </x:row>
    <x:row r="198">
      <x:c r="A198" s="117"/>
      <x:c r="B198" s="117"/>
      <x:c r="C198" s="117"/>
      <x:c r="D198" s="117"/>
      <x:c r="E198" s="117"/>
      <x:c r="F198" s="117"/>
      <x:c r="G198" s="117"/>
      <x:c r="H198" s="117"/>
      <x:c r="I198" s="117"/>
      <x:c r="J198" s="117"/>
      <x:c r="K198" s="117"/>
      <x:c r="L198" s="117"/>
      <x:c r="M198" s="117"/>
      <x:c r="N198" s="161"/>
      <x:c r="O198" s="117"/>
      <x:c r="P198" s="117"/>
      <x:c r="Q198" s="117"/>
      <x:c r="R198" s="117"/>
      <x:c r="S198" s="117"/>
      <x:c r="T198" s="117"/>
      <x:c r="U198" s="117"/>
      <x:c r="V198" s="117"/>
      <x:c r="W198" s="117"/>
      <x:c r="X198" s="117"/>
      <x:c r="Y198" s="117"/>
    </x:row>
    <x:row r="199">
      <x:c r="A199" s="117"/>
      <x:c r="B199" s="117"/>
      <x:c r="C199" s="117"/>
      <x:c r="D199" s="117"/>
      <x:c r="E199" s="117"/>
      <x:c r="F199" s="117"/>
      <x:c r="G199" s="117"/>
      <x:c r="H199" s="117"/>
      <x:c r="I199" s="117"/>
      <x:c r="J199" s="117"/>
      <x:c r="K199" s="117"/>
      <x:c r="L199" s="117"/>
      <x:c r="M199" s="117"/>
      <x:c r="N199" s="161"/>
      <x:c r="O199" s="117"/>
      <x:c r="P199" s="117"/>
      <x:c r="Q199" s="117"/>
      <x:c r="R199" s="117"/>
      <x:c r="S199" s="117"/>
      <x:c r="T199" s="117"/>
      <x:c r="U199" s="117"/>
      <x:c r="V199" s="117"/>
      <x:c r="W199" s="117"/>
      <x:c r="X199" s="117"/>
      <x:c r="Y199" s="117"/>
    </x:row>
    <x:row r="200">
      <x:c r="A200" s="117"/>
      <x:c r="B200" s="117"/>
      <x:c r="C200" s="117"/>
      <x:c r="D200" s="117"/>
      <x:c r="E200" s="117"/>
      <x:c r="F200" s="117"/>
      <x:c r="G200" s="117"/>
      <x:c r="H200" s="117"/>
      <x:c r="I200" s="117"/>
      <x:c r="J200" s="117"/>
      <x:c r="K200" s="117"/>
      <x:c r="L200" s="117"/>
      <x:c r="M200" s="117"/>
      <x:c r="N200" s="161"/>
      <x:c r="O200" s="117"/>
      <x:c r="P200" s="117"/>
      <x:c r="Q200" s="117"/>
      <x:c r="R200" s="117"/>
      <x:c r="S200" s="117"/>
      <x:c r="T200" s="117"/>
      <x:c r="U200" s="117"/>
      <x:c r="V200" s="117"/>
      <x:c r="W200" s="117"/>
      <x:c r="X200" s="117"/>
      <x:c r="Y200" s="117"/>
    </x:row>
    <x:row r="201">
      <x:c r="A201" s="117"/>
      <x:c r="B201" s="117"/>
      <x:c r="C201" s="117"/>
      <x:c r="D201" s="117"/>
      <x:c r="E201" s="117"/>
      <x:c r="F201" s="117"/>
      <x:c r="G201" s="117"/>
      <x:c r="H201" s="117"/>
      <x:c r="I201" s="117"/>
      <x:c r="J201" s="117"/>
      <x:c r="K201" s="117"/>
      <x:c r="L201" s="117"/>
      <x:c r="M201" s="117"/>
      <x:c r="N201" s="117"/>
      <x:c r="O201" s="117"/>
      <x:c r="P201" s="117"/>
      <x:c r="Q201" s="117"/>
      <x:c r="R201" s="117"/>
      <x:c r="S201" s="117"/>
      <x:c r="T201" s="117"/>
      <x:c r="U201" s="117"/>
      <x:c r="V201" s="117"/>
      <x:c r="W201" s="117"/>
      <x:c r="X201" s="117"/>
      <x:c r="Y201" s="117"/>
    </x:row>
    <x:row r="202">
      <x:c r="A202" s="117"/>
      <x:c r="B202" s="117"/>
      <x:c r="C202" s="117"/>
      <x:c r="D202" s="117"/>
      <x:c r="E202" s="117"/>
      <x:c r="F202" s="117"/>
      <x:c r="G202" s="117"/>
      <x:c r="H202" s="117"/>
      <x:c r="I202" s="117"/>
      <x:c r="J202" s="117"/>
      <x:c r="K202" s="117"/>
      <x:c r="L202" s="117"/>
      <x:c r="M202" s="117"/>
      <x:c r="N202" s="117"/>
      <x:c r="O202" s="117"/>
      <x:c r="P202" s="117"/>
      <x:c r="Q202" s="117"/>
      <x:c r="R202" s="117"/>
      <x:c r="S202" s="117"/>
      <x:c r="T202" s="117"/>
      <x:c r="U202" s="117"/>
      <x:c r="V202" s="117"/>
      <x:c r="W202" s="117"/>
      <x:c r="X202" s="117"/>
      <x:c r="Y202" s="117"/>
    </x:row>
    <x:row r="203">
      <x:c r="A203" s="117"/>
      <x:c r="B203" s="117"/>
      <x:c r="C203" s="117"/>
      <x:c r="D203" s="117"/>
      <x:c r="E203" s="117"/>
      <x:c r="F203" s="117"/>
      <x:c r="G203" s="117"/>
      <x:c r="H203" s="117"/>
      <x:c r="I203" s="117"/>
      <x:c r="J203" s="117"/>
      <x:c r="K203" s="117"/>
      <x:c r="L203" s="117"/>
      <x:c r="M203" s="117"/>
      <x:c r="N203" s="117"/>
      <x:c r="O203" s="117"/>
      <x:c r="P203" s="117"/>
      <x:c r="Q203" s="117"/>
      <x:c r="R203" s="117"/>
      <x:c r="S203" s="117"/>
      <x:c r="T203" s="117"/>
      <x:c r="U203" s="117"/>
      <x:c r="V203" s="117"/>
      <x:c r="W203" s="117"/>
      <x:c r="X203" s="117"/>
      <x:c r="Y203" s="117"/>
    </x:row>
    <x:row r="204">
      <x:c r="A204" s="117"/>
      <x:c r="B204" s="117"/>
      <x:c r="C204" s="117"/>
      <x:c r="D204" s="117"/>
      <x:c r="E204" s="117"/>
      <x:c r="F204" s="117"/>
      <x:c r="G204" s="117"/>
      <x:c r="H204" s="117"/>
      <x:c r="I204" s="117"/>
      <x:c r="J204" s="117"/>
      <x:c r="K204" s="117"/>
      <x:c r="L204" s="117"/>
      <x:c r="M204" s="117"/>
      <x:c r="N204" s="117"/>
      <x:c r="O204" s="117"/>
      <x:c r="P204" s="117"/>
      <x:c r="Q204" s="117"/>
      <x:c r="R204" s="117"/>
      <x:c r="S204" s="117"/>
      <x:c r="T204" s="117"/>
      <x:c r="U204" s="117"/>
      <x:c r="V204" s="117"/>
      <x:c r="W204" s="117"/>
      <x:c r="X204" s="117"/>
      <x:c r="Y204" s="117"/>
    </x:row>
    <x:row r="205">
      <x:c r="A205" s="117"/>
      <x:c r="B205" s="117"/>
      <x:c r="C205" s="117"/>
      <x:c r="D205" s="117"/>
      <x:c r="E205" s="117"/>
      <x:c r="F205" s="117"/>
      <x:c r="G205" s="117"/>
      <x:c r="H205" s="117"/>
      <x:c r="I205" s="117"/>
      <x:c r="J205" s="117"/>
      <x:c r="K205" s="117"/>
      <x:c r="L205" s="117"/>
      <x:c r="M205" s="117"/>
      <x:c r="N205" s="117"/>
      <x:c r="O205" s="117"/>
      <x:c r="P205" s="117"/>
      <x:c r="Q205" s="117"/>
      <x:c r="R205" s="117"/>
      <x:c r="S205" s="117"/>
      <x:c r="T205" s="117"/>
      <x:c r="U205" s="117"/>
      <x:c r="V205" s="117"/>
      <x:c r="W205" s="117"/>
      <x:c r="X205" s="117"/>
      <x:c r="Y205" s="117"/>
    </x:row>
    <x:row r="206">
      <x:c r="A206" s="117"/>
      <x:c r="B206" s="117"/>
      <x:c r="C206" s="117"/>
      <x:c r="D206" s="117"/>
      <x:c r="E206" s="117"/>
      <x:c r="F206" s="117"/>
      <x:c r="G206" s="117"/>
      <x:c r="H206" s="117"/>
      <x:c r="I206" s="117"/>
      <x:c r="J206" s="117"/>
      <x:c r="K206" s="117"/>
      <x:c r="L206" s="117"/>
      <x:c r="M206" s="117"/>
      <x:c r="N206" s="117"/>
      <x:c r="O206" s="117"/>
      <x:c r="P206" s="117"/>
      <x:c r="Q206" s="117"/>
      <x:c r="R206" s="117"/>
      <x:c r="S206" s="117"/>
      <x:c r="T206" s="117"/>
      <x:c r="U206" s="117"/>
      <x:c r="V206" s="117"/>
      <x:c r="W206" s="117"/>
      <x:c r="X206" s="117"/>
      <x:c r="Y206" s="117"/>
    </x:row>
    <x:row r="207">
      <x:c r="A207" s="117"/>
      <x:c r="B207" s="117"/>
      <x:c r="C207" s="117"/>
      <x:c r="D207" s="117"/>
      <x:c r="E207" s="117"/>
      <x:c r="F207" s="117"/>
      <x:c r="G207" s="117"/>
      <x:c r="H207" s="117"/>
      <x:c r="I207" s="117"/>
      <x:c r="J207" s="117"/>
      <x:c r="K207" s="117"/>
      <x:c r="L207" s="117"/>
      <x:c r="M207" s="117"/>
      <x:c r="N207" s="117"/>
      <x:c r="O207" s="117"/>
      <x:c r="P207" s="117"/>
      <x:c r="Q207" s="117"/>
      <x:c r="R207" s="117"/>
      <x:c r="S207" s="117"/>
      <x:c r="T207" s="117"/>
      <x:c r="U207" s="117"/>
      <x:c r="V207" s="117"/>
      <x:c r="W207" s="117"/>
      <x:c r="X207" s="117"/>
      <x:c r="Y207" s="117"/>
    </x:row>
    <x:row r="208">
      <x:c r="A208" s="117"/>
      <x:c r="B208" s="117"/>
      <x:c r="C208" s="117"/>
      <x:c r="D208" s="117"/>
      <x:c r="E208" s="117"/>
      <x:c r="F208" s="117"/>
      <x:c r="G208" s="117"/>
      <x:c r="H208" s="117"/>
      <x:c r="I208" s="117"/>
      <x:c r="J208" s="117"/>
      <x:c r="K208" s="117"/>
      <x:c r="L208" s="117"/>
      <x:c r="M208" s="117"/>
      <x:c r="N208" s="117"/>
      <x:c r="O208" s="117"/>
      <x:c r="P208" s="117"/>
      <x:c r="Q208" s="117"/>
      <x:c r="R208" s="117"/>
      <x:c r="S208" s="117"/>
      <x:c r="T208" s="117"/>
      <x:c r="U208" s="117"/>
      <x:c r="V208" s="117"/>
      <x:c r="W208" s="117"/>
      <x:c r="X208" s="117"/>
      <x:c r="Y208" s="117"/>
    </x:row>
    <x:row r="209">
      <x:c r="A209" s="117"/>
      <x:c r="B209" s="117"/>
      <x:c r="C209" s="117"/>
      <x:c r="D209" s="117"/>
      <x:c r="E209" s="117"/>
      <x:c r="F209" s="117"/>
      <x:c r="G209" s="117"/>
      <x:c r="H209" s="117"/>
      <x:c r="I209" s="117"/>
      <x:c r="J209" s="117"/>
      <x:c r="K209" s="117"/>
      <x:c r="L209" s="117"/>
      <x:c r="M209" s="117"/>
      <x:c r="N209" s="117"/>
      <x:c r="O209" s="117"/>
      <x:c r="P209" s="117"/>
      <x:c r="Q209" s="117"/>
      <x:c r="R209" s="117"/>
      <x:c r="S209" s="117"/>
      <x:c r="T209" s="117"/>
      <x:c r="U209" s="117"/>
      <x:c r="V209" s="117"/>
      <x:c r="W209" s="117"/>
      <x:c r="X209" s="117"/>
      <x:c r="Y209" s="117"/>
    </x:row>
    <x:row r="210">
      <x:c r="A210" s="117"/>
      <x:c r="B210" s="117"/>
      <x:c r="C210" s="117"/>
      <x:c r="D210" s="117"/>
      <x:c r="E210" s="117"/>
      <x:c r="F210" s="117"/>
      <x:c r="G210" s="117"/>
      <x:c r="H210" s="117"/>
      <x:c r="I210" s="117"/>
      <x:c r="J210" s="117"/>
      <x:c r="K210" s="117"/>
      <x:c r="L210" s="117"/>
      <x:c r="M210" s="117"/>
      <x:c r="N210" s="117"/>
      <x:c r="O210" s="117"/>
      <x:c r="P210" s="117"/>
      <x:c r="Q210" s="117"/>
      <x:c r="R210" s="117"/>
      <x:c r="S210" s="117"/>
      <x:c r="T210" s="117"/>
      <x:c r="U210" s="117"/>
      <x:c r="V210" s="117"/>
      <x:c r="W210" s="117"/>
      <x:c r="X210" s="117"/>
      <x:c r="Y210" s="117"/>
    </x:row>
    <x:row r="211">
      <x:c r="A211" s="117"/>
      <x:c r="B211" s="117"/>
      <x:c r="C211" s="117"/>
      <x:c r="D211" s="117"/>
      <x:c r="E211" s="117"/>
      <x:c r="F211" s="117"/>
      <x:c r="G211" s="117"/>
      <x:c r="H211" s="117"/>
      <x:c r="I211" s="117"/>
      <x:c r="J211" s="117"/>
      <x:c r="K211" s="117"/>
      <x:c r="L211" s="117"/>
      <x:c r="M211" s="117"/>
      <x:c r="N211" s="117"/>
      <x:c r="O211" s="117"/>
      <x:c r="P211" s="117"/>
      <x:c r="Q211" s="117"/>
      <x:c r="R211" s="117"/>
      <x:c r="S211" s="117"/>
      <x:c r="T211" s="117"/>
      <x:c r="U211" s="117"/>
      <x:c r="V211" s="117"/>
      <x:c r="W211" s="117"/>
      <x:c r="X211" s="117"/>
      <x:c r="Y211" s="117"/>
    </x:row>
    <x:row r="212">
      <x:c r="A212" s="117"/>
      <x:c r="B212" s="117"/>
      <x:c r="C212" s="117"/>
      <x:c r="D212" s="117"/>
      <x:c r="E212" s="117"/>
      <x:c r="F212" s="117"/>
      <x:c r="G212" s="117"/>
      <x:c r="H212" s="117"/>
      <x:c r="I212" s="117"/>
      <x:c r="J212" s="117"/>
      <x:c r="K212" s="117"/>
      <x:c r="L212" s="117"/>
      <x:c r="M212" s="117"/>
      <x:c r="N212" s="117"/>
      <x:c r="O212" s="117"/>
      <x:c r="P212" s="117"/>
      <x:c r="Q212" s="117"/>
      <x:c r="R212" s="117"/>
      <x:c r="S212" s="117"/>
      <x:c r="T212" s="117"/>
      <x:c r="U212" s="117"/>
      <x:c r="V212" s="117"/>
      <x:c r="W212" s="117"/>
      <x:c r="X212" s="117"/>
      <x:c r="Y212" s="117"/>
    </x:row>
    <x:row r="213">
      <x:c r="A213" s="117"/>
      <x:c r="B213" s="117"/>
      <x:c r="C213" s="117"/>
      <x:c r="D213" s="117"/>
      <x:c r="E213" s="117"/>
      <x:c r="F213" s="117"/>
      <x:c r="G213" s="117"/>
      <x:c r="H213" s="117"/>
      <x:c r="I213" s="117"/>
      <x:c r="J213" s="117"/>
      <x:c r="K213" s="117"/>
      <x:c r="L213" s="117"/>
      <x:c r="M213" s="117"/>
      <x:c r="N213" s="117"/>
      <x:c r="O213" s="117"/>
      <x:c r="P213" s="117"/>
      <x:c r="Q213" s="117"/>
      <x:c r="R213" s="117"/>
      <x:c r="S213" s="117"/>
      <x:c r="T213" s="117"/>
      <x:c r="U213" s="117"/>
      <x:c r="V213" s="117"/>
      <x:c r="W213" s="117"/>
      <x:c r="X213" s="117"/>
      <x:c r="Y213" s="117"/>
    </x:row>
    <x:row r="214">
      <x:c r="A214" s="117"/>
      <x:c r="B214" s="117"/>
      <x:c r="C214" s="117"/>
      <x:c r="D214" s="117"/>
      <x:c r="E214" s="117"/>
      <x:c r="F214" s="117"/>
      <x:c r="G214" s="117"/>
      <x:c r="H214" s="117"/>
      <x:c r="I214" s="117"/>
      <x:c r="J214" s="117"/>
      <x:c r="K214" s="117"/>
      <x:c r="L214" s="117"/>
      <x:c r="M214" s="117"/>
      <x:c r="N214" s="117"/>
      <x:c r="O214" s="117"/>
      <x:c r="P214" s="117"/>
      <x:c r="Q214" s="117"/>
      <x:c r="R214" s="117"/>
      <x:c r="S214" s="117"/>
      <x:c r="T214" s="117"/>
      <x:c r="U214" s="117"/>
      <x:c r="V214" s="117"/>
      <x:c r="W214" s="117"/>
      <x:c r="X214" s="117"/>
      <x:c r="Y214" s="117"/>
    </x:row>
    <x:row r="215">
      <x:c r="A215" s="117"/>
      <x:c r="B215" s="117"/>
      <x:c r="C215" s="117"/>
      <x:c r="D215" s="117"/>
      <x:c r="E215" s="117"/>
      <x:c r="F215" s="117"/>
      <x:c r="G215" s="117"/>
      <x:c r="H215" s="117"/>
      <x:c r="I215" s="117"/>
      <x:c r="J215" s="117"/>
      <x:c r="K215" s="117"/>
      <x:c r="L215" s="117"/>
      <x:c r="M215" s="117"/>
      <x:c r="N215" s="117"/>
      <x:c r="O215" s="117"/>
      <x:c r="P215" s="117"/>
      <x:c r="Q215" s="117"/>
      <x:c r="R215" s="117"/>
      <x:c r="S215" s="117"/>
      <x:c r="T215" s="117"/>
      <x:c r="U215" s="117"/>
      <x:c r="V215" s="117"/>
      <x:c r="W215" s="117"/>
      <x:c r="X215" s="117"/>
      <x:c r="Y215" s="117"/>
    </x:row>
    <x:row r="216">
      <x:c r="A216" s="117"/>
      <x:c r="B216" s="117"/>
      <x:c r="C216" s="117"/>
      <x:c r="D216" s="117"/>
      <x:c r="E216" s="117"/>
      <x:c r="F216" s="117"/>
      <x:c r="G216" s="117"/>
      <x:c r="H216" s="117"/>
      <x:c r="I216" s="117"/>
      <x:c r="J216" s="117"/>
      <x:c r="K216" s="117"/>
      <x:c r="L216" s="117"/>
      <x:c r="M216" s="117"/>
      <x:c r="N216" s="117"/>
      <x:c r="O216" s="117"/>
      <x:c r="P216" s="117"/>
      <x:c r="Q216" s="117"/>
      <x:c r="R216" s="117"/>
      <x:c r="S216" s="117"/>
      <x:c r="T216" s="117"/>
      <x:c r="U216" s="117"/>
      <x:c r="V216" s="117"/>
      <x:c r="W216" s="117"/>
      <x:c r="X216" s="117"/>
      <x:c r="Y216" s="117"/>
    </x:row>
    <x:row r="217">
      <x:c r="A217" s="117"/>
      <x:c r="B217" s="117"/>
      <x:c r="C217" s="117"/>
      <x:c r="D217" s="117"/>
      <x:c r="E217" s="117"/>
      <x:c r="F217" s="117"/>
      <x:c r="G217" s="117"/>
      <x:c r="H217" s="117"/>
      <x:c r="I217" s="117"/>
      <x:c r="J217" s="117"/>
      <x:c r="K217" s="117"/>
      <x:c r="L217" s="117"/>
      <x:c r="M217" s="117"/>
      <x:c r="N217" s="117"/>
      <x:c r="O217" s="117"/>
      <x:c r="P217" s="117"/>
      <x:c r="Q217" s="117"/>
      <x:c r="R217" s="117"/>
      <x:c r="S217" s="117"/>
      <x:c r="T217" s="117"/>
      <x:c r="U217" s="117"/>
      <x:c r="V217" s="117"/>
      <x:c r="W217" s="117"/>
      <x:c r="X217" s="117"/>
      <x:c r="Y217" s="117"/>
    </x:row>
    <x:row r="218">
      <x:c r="A218" s="117"/>
      <x:c r="B218" s="117"/>
      <x:c r="C218" s="117"/>
      <x:c r="D218" s="117"/>
      <x:c r="E218" s="117"/>
      <x:c r="F218" s="117"/>
      <x:c r="G218" s="117"/>
      <x:c r="H218" s="117"/>
      <x:c r="I218" s="117"/>
      <x:c r="J218" s="117"/>
      <x:c r="K218" s="117"/>
      <x:c r="L218" s="117"/>
      <x:c r="M218" s="117"/>
      <x:c r="N218" s="117"/>
      <x:c r="O218" s="117"/>
      <x:c r="P218" s="117"/>
      <x:c r="Q218" s="117"/>
      <x:c r="R218" s="117"/>
      <x:c r="S218" s="117"/>
      <x:c r="T218" s="117"/>
      <x:c r="U218" s="117"/>
      <x:c r="V218" s="117"/>
      <x:c r="W218" s="117"/>
      <x:c r="X218" s="117"/>
      <x:c r="Y218" s="117"/>
    </x:row>
    <x:row r="219">
      <x:c r="A219" s="117"/>
      <x:c r="B219" s="117"/>
      <x:c r="C219" s="117"/>
      <x:c r="D219" s="117"/>
      <x:c r="E219" s="117"/>
      <x:c r="F219" s="117"/>
      <x:c r="G219" s="117"/>
      <x:c r="H219" s="117"/>
      <x:c r="I219" s="117"/>
      <x:c r="J219" s="117"/>
      <x:c r="K219" s="117"/>
      <x:c r="L219" s="117"/>
      <x:c r="M219" s="117"/>
      <x:c r="N219" s="117"/>
      <x:c r="O219" s="117"/>
      <x:c r="P219" s="117"/>
      <x:c r="Q219" s="117"/>
      <x:c r="R219" s="117"/>
      <x:c r="S219" s="117"/>
      <x:c r="T219" s="117"/>
      <x:c r="U219" s="117"/>
      <x:c r="V219" s="117"/>
      <x:c r="W219" s="117"/>
      <x:c r="X219" s="117"/>
      <x:c r="Y219" s="117"/>
    </x:row>
    <x:row r="220">
      <x:c r="A220" s="117"/>
      <x:c r="B220" s="117"/>
      <x:c r="C220" s="117"/>
      <x:c r="D220" s="117"/>
      <x:c r="E220" s="117"/>
      <x:c r="F220" s="117"/>
      <x:c r="G220" s="117"/>
      <x:c r="H220" s="117"/>
      <x:c r="I220" s="117"/>
      <x:c r="J220" s="117"/>
      <x:c r="K220" s="117"/>
      <x:c r="L220" s="117"/>
      <x:c r="M220" s="117"/>
      <x:c r="N220" s="117"/>
      <x:c r="O220" s="117"/>
      <x:c r="P220" s="117"/>
      <x:c r="Q220" s="117"/>
      <x:c r="R220" s="117"/>
      <x:c r="S220" s="117"/>
      <x:c r="T220" s="117"/>
      <x:c r="U220" s="117"/>
      <x:c r="V220" s="117"/>
      <x:c r="W220" s="117"/>
      <x:c r="X220" s="117"/>
      <x:c r="Y220" s="117"/>
    </x:row>
    <x:row r="221">
      <x:c r="A221" s="117"/>
      <x:c r="B221" s="117"/>
      <x:c r="C221" s="117"/>
      <x:c r="D221" s="117"/>
      <x:c r="E221" s="117"/>
      <x:c r="F221" s="117"/>
      <x:c r="G221" s="117"/>
      <x:c r="H221" s="117"/>
      <x:c r="I221" s="117"/>
      <x:c r="J221" s="117"/>
      <x:c r="K221" s="117"/>
      <x:c r="L221" s="117"/>
      <x:c r="M221" s="117"/>
      <x:c r="N221" s="117"/>
      <x:c r="O221" s="117"/>
      <x:c r="P221" s="117"/>
      <x:c r="Q221" s="117"/>
      <x:c r="R221" s="117"/>
      <x:c r="S221" s="117"/>
      <x:c r="T221" s="117"/>
      <x:c r="U221" s="117"/>
      <x:c r="V221" s="117"/>
      <x:c r="W221" s="117"/>
      <x:c r="X221" s="117"/>
      <x:c r="Y221" s="117"/>
    </x:row>
    <x:row r="222">
      <x:c r="A222" s="117"/>
      <x:c r="B222" s="117"/>
      <x:c r="C222" s="117"/>
      <x:c r="D222" s="117"/>
      <x:c r="E222" s="117"/>
      <x:c r="F222" s="117"/>
      <x:c r="G222" s="117"/>
      <x:c r="H222" s="117"/>
      <x:c r="I222" s="117"/>
      <x:c r="J222" s="117"/>
      <x:c r="K222" s="117"/>
      <x:c r="L222" s="117"/>
      <x:c r="M222" s="117"/>
      <x:c r="N222" s="117"/>
      <x:c r="O222" s="117"/>
      <x:c r="P222" s="117"/>
      <x:c r="Q222" s="117"/>
      <x:c r="R222" s="117"/>
      <x:c r="S222" s="117"/>
      <x:c r="T222" s="117"/>
      <x:c r="U222" s="117"/>
      <x:c r="V222" s="117"/>
      <x:c r="W222" s="117"/>
      <x:c r="X222" s="117"/>
      <x:c r="Y222" s="117"/>
    </x:row>
    <x:row r="223">
      <x:c r="A223" s="117"/>
      <x:c r="B223" s="117"/>
      <x:c r="C223" s="117"/>
      <x:c r="D223" s="117"/>
      <x:c r="E223" s="117"/>
      <x:c r="F223" s="117"/>
      <x:c r="G223" s="117"/>
      <x:c r="H223" s="117"/>
      <x:c r="I223" s="117"/>
      <x:c r="J223" s="117"/>
      <x:c r="K223" s="117"/>
      <x:c r="L223" s="117"/>
      <x:c r="M223" s="117"/>
      <x:c r="N223" s="117"/>
      <x:c r="O223" s="117"/>
      <x:c r="P223" s="117"/>
      <x:c r="Q223" s="117"/>
      <x:c r="R223" s="117"/>
      <x:c r="S223" s="117"/>
      <x:c r="T223" s="117"/>
      <x:c r="U223" s="117"/>
      <x:c r="V223" s="117"/>
      <x:c r="W223" s="117"/>
      <x:c r="X223" s="117"/>
      <x:c r="Y223" s="117"/>
    </x:row>
    <x:row r="224">
      <x:c r="A224" s="117"/>
      <x:c r="B224" s="117"/>
      <x:c r="C224" s="117"/>
      <x:c r="D224" s="117"/>
      <x:c r="E224" s="117"/>
      <x:c r="F224" s="117"/>
      <x:c r="G224" s="117"/>
      <x:c r="H224" s="117"/>
      <x:c r="I224" s="117"/>
      <x:c r="J224" s="117"/>
      <x:c r="K224" s="117"/>
      <x:c r="L224" s="117"/>
      <x:c r="M224" s="117"/>
      <x:c r="N224" s="117"/>
      <x:c r="O224" s="117"/>
      <x:c r="P224" s="117"/>
      <x:c r="Q224" s="117"/>
      <x:c r="R224" s="117"/>
      <x:c r="S224" s="117"/>
      <x:c r="T224" s="117"/>
      <x:c r="U224" s="117"/>
      <x:c r="V224" s="117"/>
      <x:c r="W224" s="117"/>
      <x:c r="X224" s="117"/>
      <x:c r="Y224" s="117"/>
    </x:row>
    <x:row r="225">
      <x:c r="A225" s="117"/>
      <x:c r="B225" s="117"/>
      <x:c r="C225" s="117"/>
      <x:c r="D225" s="117"/>
      <x:c r="E225" s="117"/>
      <x:c r="F225" s="117"/>
      <x:c r="G225" s="117"/>
      <x:c r="H225" s="117"/>
      <x:c r="I225" s="117"/>
      <x:c r="J225" s="117"/>
      <x:c r="K225" s="117"/>
      <x:c r="L225" s="117"/>
      <x:c r="M225" s="117"/>
      <x:c r="N225" s="117"/>
      <x:c r="O225" s="117"/>
      <x:c r="P225" s="117"/>
      <x:c r="Q225" s="117"/>
      <x:c r="R225" s="117"/>
      <x:c r="S225" s="117"/>
      <x:c r="T225" s="117"/>
      <x:c r="U225" s="117"/>
      <x:c r="V225" s="117"/>
      <x:c r="W225" s="117"/>
      <x:c r="X225" s="117"/>
      <x:c r="Y225" s="117"/>
    </x:row>
    <x:row r="226">
      <x:c r="A226" s="117"/>
      <x:c r="B226" s="117"/>
      <x:c r="C226" s="117"/>
      <x:c r="D226" s="117"/>
      <x:c r="E226" s="117"/>
      <x:c r="F226" s="117"/>
      <x:c r="G226" s="117"/>
      <x:c r="H226" s="117"/>
      <x:c r="I226" s="117"/>
      <x:c r="J226" s="117"/>
      <x:c r="K226" s="117"/>
      <x:c r="L226" s="117"/>
      <x:c r="M226" s="117"/>
      <x:c r="N226" s="117"/>
      <x:c r="O226" s="117"/>
      <x:c r="P226" s="117"/>
      <x:c r="Q226" s="117"/>
      <x:c r="R226" s="117"/>
      <x:c r="S226" s="117"/>
      <x:c r="T226" s="117"/>
      <x:c r="U226" s="117"/>
      <x:c r="V226" s="117"/>
      <x:c r="W226" s="117"/>
      <x:c r="X226" s="117"/>
      <x:c r="Y226" s="117"/>
    </x:row>
    <x:row r="227">
      <x:c r="A227" s="117"/>
      <x:c r="B227" s="117"/>
      <x:c r="C227" s="117"/>
      <x:c r="D227" s="117"/>
      <x:c r="E227" s="117"/>
      <x:c r="F227" s="117"/>
      <x:c r="G227" s="117"/>
      <x:c r="H227" s="117"/>
      <x:c r="I227" s="117"/>
      <x:c r="J227" s="117"/>
      <x:c r="K227" s="117"/>
      <x:c r="L227" s="117"/>
      <x:c r="M227" s="117"/>
      <x:c r="N227" s="117"/>
      <x:c r="O227" s="117"/>
      <x:c r="P227" s="117"/>
      <x:c r="Q227" s="117"/>
      <x:c r="R227" s="117"/>
      <x:c r="S227" s="117"/>
      <x:c r="T227" s="117"/>
      <x:c r="U227" s="117"/>
      <x:c r="V227" s="117"/>
      <x:c r="W227" s="117"/>
      <x:c r="X227" s="117"/>
      <x:c r="Y227" s="117"/>
    </x:row>
    <x:row r="228">
      <x:c r="A228" s="117"/>
      <x:c r="B228" s="117"/>
      <x:c r="C228" s="117"/>
      <x:c r="D228" s="117"/>
      <x:c r="E228" s="117"/>
      <x:c r="F228" s="117"/>
      <x:c r="G228" s="117"/>
      <x:c r="H228" s="117"/>
      <x:c r="I228" s="117"/>
      <x:c r="J228" s="117"/>
      <x:c r="K228" s="117"/>
      <x:c r="L228" s="117"/>
      <x:c r="M228" s="117"/>
      <x:c r="N228" s="117"/>
      <x:c r="O228" s="117"/>
      <x:c r="P228" s="117"/>
      <x:c r="Q228" s="117"/>
      <x:c r="R228" s="117"/>
      <x:c r="S228" s="117"/>
      <x:c r="T228" s="117"/>
      <x:c r="U228" s="117"/>
      <x:c r="V228" s="117"/>
      <x:c r="W228" s="117"/>
      <x:c r="X228" s="117"/>
      <x:c r="Y228" s="117"/>
    </x:row>
    <x:row r="229">
      <x:c r="A229" s="117"/>
      <x:c r="B229" s="117"/>
      <x:c r="C229" s="117"/>
      <x:c r="D229" s="117"/>
      <x:c r="E229" s="117"/>
      <x:c r="F229" s="117"/>
      <x:c r="G229" s="117"/>
      <x:c r="H229" s="117"/>
      <x:c r="I229" s="117"/>
      <x:c r="J229" s="117"/>
      <x:c r="K229" s="117"/>
      <x:c r="L229" s="117"/>
      <x:c r="M229" s="117"/>
      <x:c r="N229" s="117"/>
      <x:c r="O229" s="117"/>
      <x:c r="P229" s="117"/>
      <x:c r="Q229" s="117"/>
      <x:c r="R229" s="117"/>
      <x:c r="S229" s="117"/>
      <x:c r="T229" s="117"/>
      <x:c r="U229" s="117"/>
      <x:c r="V229" s="117"/>
      <x:c r="W229" s="117"/>
      <x:c r="X229" s="117"/>
      <x:c r="Y229" s="117"/>
    </x:row>
    <x:row r="230">
      <x:c r="A230" s="117"/>
      <x:c r="B230" s="117"/>
      <x:c r="C230" s="117"/>
      <x:c r="D230" s="117"/>
      <x:c r="E230" s="117"/>
      <x:c r="F230" s="117"/>
      <x:c r="G230" s="117"/>
      <x:c r="H230" s="117"/>
      <x:c r="I230" s="117"/>
      <x:c r="J230" s="117"/>
      <x:c r="K230" s="117"/>
      <x:c r="L230" s="117"/>
      <x:c r="M230" s="117"/>
      <x:c r="N230" s="117"/>
      <x:c r="O230" s="117"/>
      <x:c r="P230" s="117"/>
      <x:c r="Q230" s="117"/>
      <x:c r="R230" s="117"/>
      <x:c r="S230" s="117"/>
      <x:c r="T230" s="117"/>
      <x:c r="U230" s="117"/>
      <x:c r="V230" s="117"/>
      <x:c r="W230" s="117"/>
      <x:c r="X230" s="117"/>
      <x:c r="Y230" s="117"/>
    </x:row>
    <x:row r="231">
      <x:c r="A231" s="117"/>
      <x:c r="B231" s="117"/>
      <x:c r="C231" s="117"/>
      <x:c r="D231" s="117"/>
      <x:c r="E231" s="117"/>
      <x:c r="F231" s="117"/>
      <x:c r="G231" s="117"/>
      <x:c r="H231" s="117"/>
      <x:c r="I231" s="117"/>
      <x:c r="J231" s="117"/>
      <x:c r="K231" s="117"/>
      <x:c r="L231" s="117"/>
      <x:c r="M231" s="117"/>
      <x:c r="N231" s="117"/>
      <x:c r="O231" s="117"/>
      <x:c r="P231" s="117"/>
      <x:c r="Q231" s="117"/>
      <x:c r="R231" s="117"/>
      <x:c r="S231" s="117"/>
      <x:c r="T231" s="117"/>
      <x:c r="U231" s="117"/>
      <x:c r="V231" s="117"/>
      <x:c r="W231" s="117"/>
      <x:c r="X231" s="117"/>
      <x:c r="Y231" s="117"/>
    </x:row>
    <x:row r="232">
      <x:c r="A232" s="117"/>
      <x:c r="B232" s="117"/>
      <x:c r="C232" s="117"/>
      <x:c r="D232" s="117"/>
      <x:c r="E232" s="117"/>
      <x:c r="F232" s="117"/>
      <x:c r="G232" s="117"/>
      <x:c r="H232" s="117"/>
      <x:c r="I232" s="117"/>
      <x:c r="J232" s="117"/>
      <x:c r="K232" s="117"/>
      <x:c r="L232" s="117"/>
      <x:c r="M232" s="117"/>
      <x:c r="N232" s="117"/>
      <x:c r="O232" s="117"/>
      <x:c r="P232" s="117"/>
      <x:c r="Q232" s="117"/>
      <x:c r="R232" s="117"/>
      <x:c r="S232" s="117"/>
      <x:c r="T232" s="117"/>
      <x:c r="U232" s="117"/>
      <x:c r="V232" s="117"/>
      <x:c r="W232" s="117"/>
      <x:c r="X232" s="117"/>
      <x:c r="Y232" s="117"/>
    </x:row>
    <x:row r="233">
      <x:c r="A233" s="117"/>
      <x:c r="B233" s="117"/>
      <x:c r="C233" s="117"/>
      <x:c r="D233" s="117"/>
      <x:c r="E233" s="117"/>
      <x:c r="F233" s="117"/>
      <x:c r="G233" s="117"/>
      <x:c r="H233" s="117"/>
      <x:c r="I233" s="117"/>
      <x:c r="J233" s="117"/>
      <x:c r="K233" s="117"/>
      <x:c r="L233" s="117"/>
      <x:c r="M233" s="117"/>
      <x:c r="N233" s="117"/>
      <x:c r="O233" s="117"/>
      <x:c r="P233" s="117"/>
      <x:c r="Q233" s="117"/>
      <x:c r="R233" s="117"/>
      <x:c r="S233" s="117"/>
      <x:c r="T233" s="117"/>
      <x:c r="U233" s="117"/>
      <x:c r="V233" s="117"/>
      <x:c r="W233" s="117"/>
      <x:c r="X233" s="117"/>
      <x:c r="Y233" s="117"/>
    </x:row>
    <x:row r="234">
      <x:c r="A234" s="117"/>
      <x:c r="B234" s="117"/>
      <x:c r="C234" s="117"/>
      <x:c r="D234" s="117"/>
      <x:c r="E234" s="117"/>
      <x:c r="F234" s="117"/>
      <x:c r="G234" s="117"/>
      <x:c r="H234" s="117"/>
      <x:c r="I234" s="117"/>
      <x:c r="J234" s="117"/>
      <x:c r="K234" s="117"/>
      <x:c r="L234" s="117"/>
      <x:c r="M234" s="117"/>
      <x:c r="N234" s="117"/>
      <x:c r="O234" s="117"/>
      <x:c r="P234" s="117"/>
      <x:c r="Q234" s="117"/>
      <x:c r="R234" s="117"/>
      <x:c r="S234" s="117"/>
      <x:c r="T234" s="117"/>
      <x:c r="U234" s="117"/>
      <x:c r="V234" s="117"/>
      <x:c r="W234" s="117"/>
      <x:c r="X234" s="117"/>
      <x:c r="Y234" s="117"/>
    </x:row>
    <x:row r="235">
      <x:c r="A235" s="117"/>
      <x:c r="B235" s="117"/>
      <x:c r="C235" s="117"/>
      <x:c r="D235" s="117"/>
      <x:c r="E235" s="117"/>
      <x:c r="F235" s="117"/>
      <x:c r="G235" s="117"/>
      <x:c r="H235" s="117"/>
      <x:c r="I235" s="117"/>
      <x:c r="J235" s="117"/>
      <x:c r="K235" s="117"/>
      <x:c r="L235" s="117"/>
      <x:c r="M235" s="117"/>
      <x:c r="N235" s="117"/>
      <x:c r="O235" s="117"/>
      <x:c r="P235" s="117"/>
      <x:c r="Q235" s="117"/>
      <x:c r="R235" s="117"/>
      <x:c r="S235" s="117"/>
      <x:c r="T235" s="117"/>
      <x:c r="U235" s="117"/>
      <x:c r="V235" s="117"/>
      <x:c r="W235" s="117"/>
      <x:c r="X235" s="117"/>
      <x:c r="Y235" s="117"/>
    </x:row>
    <x:row r="236">
      <x:c r="A236" s="117"/>
      <x:c r="B236" s="117"/>
      <x:c r="C236" s="117"/>
      <x:c r="D236" s="117"/>
      <x:c r="E236" s="117"/>
      <x:c r="F236" s="117"/>
      <x:c r="G236" s="117"/>
      <x:c r="H236" s="117"/>
      <x:c r="I236" s="117"/>
      <x:c r="J236" s="117"/>
      <x:c r="K236" s="117"/>
      <x:c r="L236" s="117"/>
      <x:c r="M236" s="117"/>
      <x:c r="N236" s="117"/>
      <x:c r="O236" s="117"/>
      <x:c r="P236" s="117"/>
      <x:c r="Q236" s="117"/>
      <x:c r="R236" s="117"/>
      <x:c r="S236" s="117"/>
      <x:c r="T236" s="117"/>
      <x:c r="U236" s="117"/>
      <x:c r="V236" s="117"/>
      <x:c r="W236" s="117"/>
      <x:c r="X236" s="117"/>
      <x:c r="Y236" s="117"/>
    </x:row>
    <x:row r="237">
      <x:c r="A237" s="117"/>
      <x:c r="B237" s="117"/>
      <x:c r="C237" s="117"/>
      <x:c r="D237" s="117"/>
      <x:c r="E237" s="117"/>
      <x:c r="F237" s="117"/>
      <x:c r="G237" s="117"/>
      <x:c r="H237" s="117"/>
      <x:c r="I237" s="117"/>
      <x:c r="J237" s="117"/>
      <x:c r="K237" s="117"/>
      <x:c r="L237" s="117"/>
      <x:c r="M237" s="117"/>
      <x:c r="N237" s="117"/>
      <x:c r="O237" s="117"/>
      <x:c r="P237" s="117"/>
      <x:c r="Q237" s="117"/>
      <x:c r="R237" s="117"/>
      <x:c r="S237" s="117"/>
      <x:c r="T237" s="117"/>
      <x:c r="U237" s="117"/>
      <x:c r="V237" s="117"/>
      <x:c r="W237" s="117"/>
      <x:c r="X237" s="117"/>
      <x:c r="Y237" s="117"/>
    </x:row>
    <x:row r="238">
      <x:c r="A238" s="117"/>
      <x:c r="B238" s="117"/>
      <x:c r="C238" s="117"/>
      <x:c r="D238" s="117"/>
      <x:c r="E238" s="117"/>
      <x:c r="F238" s="117"/>
      <x:c r="G238" s="117"/>
      <x:c r="H238" s="117"/>
      <x:c r="I238" s="117"/>
      <x:c r="J238" s="117"/>
      <x:c r="K238" s="117"/>
      <x:c r="L238" s="117"/>
      <x:c r="M238" s="117"/>
      <x:c r="N238" s="117"/>
      <x:c r="O238" s="117"/>
      <x:c r="P238" s="117"/>
      <x:c r="Q238" s="117"/>
      <x:c r="R238" s="117"/>
      <x:c r="S238" s="117"/>
      <x:c r="T238" s="117"/>
      <x:c r="U238" s="117"/>
      <x:c r="V238" s="117"/>
      <x:c r="W238" s="117"/>
      <x:c r="X238" s="117"/>
      <x:c r="Y238" s="117"/>
    </x:row>
    <x:row r="239">
      <x:c r="A239" s="117"/>
      <x:c r="B239" s="117"/>
      <x:c r="C239" s="117"/>
      <x:c r="D239" s="117"/>
      <x:c r="E239" s="117"/>
      <x:c r="F239" s="117"/>
      <x:c r="G239" s="117"/>
      <x:c r="H239" s="117"/>
      <x:c r="I239" s="117"/>
      <x:c r="J239" s="117"/>
      <x:c r="K239" s="117"/>
      <x:c r="L239" s="117"/>
      <x:c r="M239" s="117"/>
      <x:c r="N239" s="117"/>
      <x:c r="O239" s="117"/>
      <x:c r="P239" s="117"/>
      <x:c r="Q239" s="117"/>
      <x:c r="R239" s="117"/>
      <x:c r="S239" s="117"/>
      <x:c r="T239" s="117"/>
      <x:c r="U239" s="117"/>
      <x:c r="V239" s="117"/>
      <x:c r="W239" s="117"/>
      <x:c r="X239" s="117"/>
      <x:c r="Y239" s="117"/>
    </x:row>
    <x:row r="240">
      <x:c r="A240" s="117"/>
      <x:c r="B240" s="117"/>
      <x:c r="C240" s="117"/>
      <x:c r="D240" s="117"/>
      <x:c r="E240" s="117"/>
      <x:c r="F240" s="117"/>
      <x:c r="G240" s="117"/>
      <x:c r="H240" s="117"/>
      <x:c r="I240" s="117"/>
      <x:c r="J240" s="117"/>
      <x:c r="K240" s="117"/>
      <x:c r="L240" s="117"/>
      <x:c r="M240" s="117"/>
      <x:c r="N240" s="117"/>
      <x:c r="O240" s="117"/>
      <x:c r="P240" s="117"/>
      <x:c r="Q240" s="117"/>
      <x:c r="R240" s="117"/>
      <x:c r="S240" s="117"/>
      <x:c r="T240" s="117"/>
      <x:c r="U240" s="117"/>
      <x:c r="V240" s="117"/>
      <x:c r="W240" s="117"/>
      <x:c r="X240" s="117"/>
      <x:c r="Y240" s="117"/>
    </x:row>
    <x:row r="241">
      <x:c r="A241" s="117"/>
      <x:c r="B241" s="117"/>
      <x:c r="C241" s="117"/>
      <x:c r="D241" s="117"/>
      <x:c r="E241" s="117"/>
      <x:c r="F241" s="117"/>
      <x:c r="G241" s="117"/>
      <x:c r="H241" s="117"/>
      <x:c r="I241" s="117"/>
      <x:c r="J241" s="117"/>
      <x:c r="K241" s="117"/>
      <x:c r="L241" s="117"/>
      <x:c r="M241" s="117"/>
      <x:c r="N241" s="117"/>
      <x:c r="O241" s="117"/>
      <x:c r="P241" s="117"/>
      <x:c r="Q241" s="117"/>
      <x:c r="R241" s="117"/>
      <x:c r="S241" s="117"/>
      <x:c r="T241" s="117"/>
      <x:c r="U241" s="117"/>
      <x:c r="V241" s="117"/>
      <x:c r="W241" s="117"/>
      <x:c r="X241" s="117"/>
      <x:c r="Y241" s="117"/>
    </x:row>
    <x:row r="242">
      <x:c r="A242" s="117"/>
      <x:c r="B242" s="117"/>
      <x:c r="C242" s="117"/>
      <x:c r="D242" s="117"/>
      <x:c r="E242" s="117"/>
      <x:c r="F242" s="117"/>
      <x:c r="G242" s="117"/>
      <x:c r="H242" s="117"/>
      <x:c r="I242" s="117"/>
      <x:c r="J242" s="117"/>
      <x:c r="K242" s="117"/>
      <x:c r="L242" s="117"/>
      <x:c r="M242" s="117"/>
      <x:c r="N242" s="117"/>
      <x:c r="O242" s="117"/>
      <x:c r="P242" s="117"/>
      <x:c r="Q242" s="117"/>
      <x:c r="R242" s="117"/>
      <x:c r="S242" s="117"/>
      <x:c r="T242" s="117"/>
      <x:c r="U242" s="117"/>
      <x:c r="V242" s="117"/>
      <x:c r="W242" s="117"/>
      <x:c r="X242" s="117"/>
      <x:c r="Y242" s="117"/>
    </x:row>
    <x:row r="243">
      <x:c r="A243" s="117"/>
      <x:c r="B243" s="117"/>
      <x:c r="C243" s="117"/>
      <x:c r="D243" s="117"/>
      <x:c r="E243" s="117"/>
      <x:c r="F243" s="117"/>
      <x:c r="G243" s="117"/>
      <x:c r="H243" s="117"/>
      <x:c r="I243" s="117"/>
      <x:c r="J243" s="117"/>
      <x:c r="K243" s="117"/>
      <x:c r="L243" s="117"/>
      <x:c r="M243" s="117"/>
      <x:c r="N243" s="117"/>
      <x:c r="O243" s="117"/>
      <x:c r="P243" s="117"/>
      <x:c r="Q243" s="117"/>
      <x:c r="R243" s="117"/>
      <x:c r="S243" s="117"/>
      <x:c r="T243" s="117"/>
      <x:c r="U243" s="117"/>
      <x:c r="V243" s="117"/>
      <x:c r="W243" s="117"/>
      <x:c r="X243" s="117"/>
      <x:c r="Y243" s="117"/>
    </x:row>
    <x:row r="244">
      <x:c r="A244" s="117"/>
      <x:c r="B244" s="117"/>
      <x:c r="C244" s="117"/>
      <x:c r="D244" s="117"/>
      <x:c r="E244" s="117"/>
      <x:c r="F244" s="117"/>
      <x:c r="G244" s="117"/>
      <x:c r="H244" s="117"/>
      <x:c r="I244" s="117"/>
      <x:c r="J244" s="117"/>
      <x:c r="K244" s="117"/>
      <x:c r="L244" s="117"/>
      <x:c r="M244" s="117"/>
      <x:c r="N244" s="117"/>
      <x:c r="O244" s="117"/>
      <x:c r="P244" s="117"/>
      <x:c r="Q244" s="117"/>
      <x:c r="R244" s="117"/>
      <x:c r="S244" s="117"/>
      <x:c r="T244" s="117"/>
      <x:c r="U244" s="117"/>
      <x:c r="V244" s="117"/>
      <x:c r="W244" s="117"/>
      <x:c r="X244" s="117"/>
      <x:c r="Y244" s="117"/>
    </x:row>
    <x:row r="245">
      <x:c r="A245" s="117"/>
      <x:c r="B245" s="117"/>
      <x:c r="C245" s="117"/>
      <x:c r="D245" s="117"/>
      <x:c r="E245" s="117"/>
      <x:c r="F245" s="117"/>
      <x:c r="G245" s="117"/>
      <x:c r="H245" s="117"/>
      <x:c r="I245" s="117"/>
      <x:c r="J245" s="117"/>
      <x:c r="K245" s="117"/>
      <x:c r="L245" s="117"/>
      <x:c r="M245" s="117"/>
      <x:c r="N245" s="117"/>
      <x:c r="O245" s="117"/>
      <x:c r="P245" s="117"/>
      <x:c r="Q245" s="117"/>
      <x:c r="R245" s="117"/>
      <x:c r="S245" s="117"/>
      <x:c r="T245" s="117"/>
      <x:c r="U245" s="117"/>
      <x:c r="V245" s="117"/>
      <x:c r="W245" s="117"/>
      <x:c r="X245" s="117"/>
      <x:c r="Y245" s="117"/>
    </x:row>
    <x:row r="246">
      <x:c r="A246" s="117"/>
      <x:c r="B246" s="117"/>
      <x:c r="C246" s="117"/>
      <x:c r="D246" s="117"/>
      <x:c r="E246" s="117"/>
      <x:c r="F246" s="117"/>
      <x:c r="G246" s="117"/>
      <x:c r="H246" s="117"/>
      <x:c r="I246" s="117"/>
      <x:c r="J246" s="117"/>
      <x:c r="K246" s="117"/>
      <x:c r="L246" s="117"/>
      <x:c r="M246" s="117"/>
      <x:c r="N246" s="117"/>
      <x:c r="O246" s="117"/>
      <x:c r="P246" s="117"/>
      <x:c r="Q246" s="117"/>
      <x:c r="R246" s="117"/>
      <x:c r="S246" s="117"/>
      <x:c r="T246" s="117"/>
      <x:c r="U246" s="117"/>
      <x:c r="V246" s="117"/>
      <x:c r="W246" s="117"/>
      <x:c r="X246" s="117"/>
      <x:c r="Y246" s="117"/>
    </x:row>
    <x:row r="247">
      <x:c r="A247" s="117"/>
      <x:c r="B247" s="117"/>
      <x:c r="C247" s="117"/>
      <x:c r="D247" s="117"/>
      <x:c r="E247" s="117"/>
      <x:c r="F247" s="117"/>
      <x:c r="G247" s="117"/>
      <x:c r="H247" s="117"/>
      <x:c r="I247" s="117"/>
      <x:c r="J247" s="117"/>
      <x:c r="K247" s="117"/>
      <x:c r="L247" s="117"/>
      <x:c r="M247" s="117"/>
      <x:c r="N247" s="117"/>
      <x:c r="O247" s="117"/>
      <x:c r="P247" s="117"/>
      <x:c r="Q247" s="117"/>
      <x:c r="R247" s="117"/>
      <x:c r="S247" s="117"/>
      <x:c r="T247" s="117"/>
      <x:c r="U247" s="117"/>
      <x:c r="V247" s="117"/>
      <x:c r="W247" s="117"/>
      <x:c r="X247" s="117"/>
      <x:c r="Y247" s="117"/>
    </x:row>
    <x:row r="248">
      <x:c r="A248" s="117"/>
      <x:c r="B248" s="117"/>
      <x:c r="C248" s="117"/>
      <x:c r="D248" s="117"/>
      <x:c r="E248" s="117"/>
      <x:c r="F248" s="117"/>
      <x:c r="G248" s="117"/>
      <x:c r="H248" s="117"/>
      <x:c r="I248" s="117"/>
      <x:c r="J248" s="117"/>
      <x:c r="K248" s="117"/>
      <x:c r="L248" s="117"/>
      <x:c r="M248" s="117"/>
      <x:c r="N248" s="117"/>
      <x:c r="O248" s="117"/>
      <x:c r="P248" s="117"/>
      <x:c r="Q248" s="117"/>
      <x:c r="R248" s="117"/>
      <x:c r="S248" s="117"/>
      <x:c r="T248" s="117"/>
      <x:c r="U248" s="117"/>
      <x:c r="V248" s="117"/>
      <x:c r="W248" s="117"/>
      <x:c r="X248" s="117"/>
      <x:c r="Y248" s="117"/>
    </x:row>
    <x:row r="249">
      <x:c r="A249" s="117"/>
      <x:c r="B249" s="117"/>
      <x:c r="C249" s="117"/>
      <x:c r="D249" s="117"/>
      <x:c r="E249" s="117"/>
      <x:c r="F249" s="117"/>
      <x:c r="G249" s="117"/>
      <x:c r="H249" s="117"/>
      <x:c r="I249" s="117"/>
      <x:c r="J249" s="117"/>
      <x:c r="K249" s="117"/>
      <x:c r="L249" s="117"/>
      <x:c r="M249" s="117"/>
      <x:c r="N249" s="117"/>
      <x:c r="O249" s="117"/>
      <x:c r="P249" s="117"/>
      <x:c r="Q249" s="117"/>
      <x:c r="R249" s="117"/>
      <x:c r="S249" s="117"/>
      <x:c r="T249" s="117"/>
      <x:c r="U249" s="117"/>
      <x:c r="V249" s="117"/>
      <x:c r="W249" s="117"/>
      <x:c r="X249" s="117"/>
      <x:c r="Y249" s="117"/>
    </x:row>
    <x:row r="250">
      <x:c r="A250" s="117"/>
      <x:c r="B250" s="117"/>
      <x:c r="C250" s="117"/>
      <x:c r="D250" s="117"/>
      <x:c r="E250" s="117"/>
      <x:c r="F250" s="117"/>
      <x:c r="G250" s="117"/>
      <x:c r="H250" s="117"/>
      <x:c r="I250" s="117"/>
      <x:c r="J250" s="117"/>
      <x:c r="K250" s="117"/>
      <x:c r="L250" s="117"/>
      <x:c r="M250" s="117"/>
      <x:c r="N250" s="117"/>
      <x:c r="O250" s="117"/>
      <x:c r="P250" s="117"/>
      <x:c r="Q250" s="117"/>
      <x:c r="R250" s="117"/>
      <x:c r="S250" s="117"/>
      <x:c r="T250" s="117"/>
      <x:c r="U250" s="117"/>
      <x:c r="V250" s="117"/>
      <x:c r="W250" s="117"/>
      <x:c r="X250" s="117"/>
      <x:c r="Y250" s="117"/>
    </x:row>
  </x:sheetData>
  <x:conditionalFormatting sqref="O2:O200">
    <x:cfRule type="expression" dxfId="0" priority="1">
      <x:formula>O2="Critical"</x:formula>
    </x:cfRule>
    <x:cfRule type="expression" dxfId="1" priority="2">
      <x:formula>O2="High"</x:formula>
    </x:cfRule>
    <x:cfRule type="expression" dxfId="2" priority="3">
      <x:formula>O2="Medium"</x:formula>
    </x:cfRule>
    <x:cfRule type="expression" dxfId="3" priority="4">
      <x:formula>O2="Low"</x:formula>
    </x:cfRule>
  </x:conditionalFormatting>
  <x:conditionalFormatting sqref="V2:V200">
    <x:cfRule type="expression" dxfId="4" priority="5">
      <x:formula>V2="Strong"</x:formula>
    </x:cfRule>
    <x:cfRule type="expression" dxfId="5" priority="6">
      <x:formula>V2="Adequate"</x:formula>
    </x:cfRule>
    <x:cfRule type="expression" dxfId="6" priority="7">
      <x:formula>V2="Needs Improvement"</x:formula>
    </x:cfRule>
    <x:cfRule type="expression" dxfId="7" priority="8">
      <x:formula>V2="Weak"</x:formula>
    </x:cfRule>
    <x:cfRule type="expression" dxfId="8" priority="9">
      <x:formula>V2="Unknown"</x:formula>
    </x:cfRule>
  </x:conditionalFormatting>
  <x:conditionalFormatting sqref="N2:N200">
    <x:cfRule type="dataBar" priority="10">
      <x:dataBar>
        <x:cfvo type="min"/>
        <x:cfvo type="max"/>
        <x:color rgb="FFA02B93"/>
      </x:dataBar>
      <x:extLst>
        <x:ext xmlns:x14="http://schemas.microsoft.com/office/spreadsheetml/2009/9/main" uri="{B025F937-C7B1-47D3-B67F-A62EFF666E3E}">
          <x14:id>{7E2B24F6-D8EA-EDA0-99AB-FAA04002BDA2}</x14:id>
        </x:ext>
      </x:extLst>
    </x:cfRule>
  </x:conditionalFormatting>
  <x:dataValidations count="4">
    <x:dataValidation type="list" sqref="J2:J200">
      <x:formula1>"Public,Internal,Confidential,Highly Confidential,Restricted"</x:formula1>
    </x:dataValidation>
    <x:dataValidation type="list" sqref="P2:P200">
      <x:formula1>"Yes,No,Indirect,Vendor Managed"</x:formula1>
    </x:dataValidation>
    <x:dataValidation type="list" sqref="T2:T200">
      <x:formula1>"Production,Pilot,Legacy,Retiring"</x:formula1>
    </x:dataValidation>
    <x:dataValidation type="list" sqref="V2:V200">
      <x:formula1>"Strong,Adequate,Needs Improvement,Weak,Unknown"</x:formula1>
    </x:dataValidation>
  </x:dataValidations>
  <x:pageMargins left="0.7" right="0.7" top="0.75" bottom="0.75" header="0.3" footer="0.3"/>
  <x:tableParts count="1">
    <x:tablePart xmlns:r="http://schemas.openxmlformats.org/officeDocument/2006/relationships" r:id="R943c92472ed14886"/>
  </x:tableParts>
  <x:extLst>
    <x:ext xmlns:x14="http://schemas.microsoft.com/office/spreadsheetml/2009/9/main" xmlns:xm="http://schemas.microsoft.com/office/excel/2006/main" uri="{78C0D931-6437-407d-A8EE-F0AAD7539E65}">
      <x14:conditionalFormattings>
        <x14:conditionalFormatting>
          <x14:cfRule type="dataBar" priority="10" id="{7E2B24F6-D8EA-EDA0-99AB-FAA04002BDA2}">
            <x14:dataBar gradient="1">
              <x14:cfvo type="min"/>
              <x14:cfvo type="max"/>
              <x14:fillColor rgb="FFA02B93"/>
            </x14:dataBar>
          </x14:cfRule>
          <xm:sqref>N2:N200</xm:sqref>
        </x14:conditionalFormatting>
      </x14:conditionalFormattings>
    </x:ext>
  </x:extLst>
</x:worksheet>
</file>

<file path=xl/worksheets/sheet4.xml><?xml version="1.0" encoding="utf-8"?>
<x:worksheet xmlns:x="http://schemas.openxmlformats.org/spreadsheetml/2006/main">
  <x:sheetFormatPr defaultRowHeight="15"/>
  <x:cols>
    <x:col min="1" max="1" width="10" hidden="0" customWidth="1"/>
    <x:col min="2" max="2" width="31" hidden="0" customWidth="1"/>
    <x:col min="3" max="3" width="22" hidden="0" customWidth="1"/>
    <x:col min="4" max="4" width="42" hidden="0" customWidth="1"/>
    <x:col min="5" max="5" width="53" hidden="0" customWidth="1"/>
    <x:col min="6" max="6" width="26" hidden="0" customWidth="1"/>
    <x:col min="7" max="7" width="13" hidden="0" customWidth="1"/>
    <x:col min="8" max="8" width="13" hidden="0" customWidth="1"/>
    <x:col min="9" max="9" width="13" hidden="0" customWidth="1"/>
    <x:col min="10" max="10" width="42" hidden="0" customWidth="1"/>
  </x:cols>
  <x:sheetData>
    <x:row r="1" ht="42" customHeight="1">
      <x:c r="A1" s="54" t="str">
        <x:v>Service ID</x:v>
      </x:c>
      <x:c r="B1" s="54" t="str">
        <x:v>Business Service</x:v>
      </x:c>
      <x:c r="C1" s="54" t="str">
        <x:v>Owner</x:v>
      </x:c>
      <x:c r="D1" s="54" t="str">
        <x:v>Supporting Assets</x:v>
      </x:c>
      <x:c r="E1" s="54" t="str">
        <x:v>Business Impact if Unavailable</x:v>
      </x:c>
      <x:c r="F1" s="54" t="str">
        <x:v>Maximum Tolerable Downtime</x:v>
      </x:c>
      <x:c r="G1" s="54" t="str">
        <x:v>Target RTO</x:v>
      </x:c>
      <x:c r="H1" s="54" t="str">
        <x:v>Target RPO</x:v>
      </x:c>
      <x:c r="I1" s="54" t="str">
        <x:v>Criticality</x:v>
      </x:c>
      <x:c r="J1" s="54" t="str">
        <x:v>Key Cyber Dependency</x:v>
      </x:c>
      <x:c r="K1" s="117"/>
      <x:c r="L1" s="117"/>
      <x:c r="M1" s="117"/>
      <x:c r="N1" s="117"/>
      <x:c r="O1" s="117"/>
      <x:c r="P1" s="117"/>
      <x:c r="Q1" s="117"/>
      <x:c r="R1" s="117"/>
      <x:c r="S1" s="117"/>
      <x:c r="T1" s="117"/>
      <x:c r="U1" s="117"/>
      <x:c r="V1" s="117"/>
      <x:c r="W1" s="117"/>
      <x:c r="X1" s="117"/>
      <x:c r="Y1" s="117"/>
    </x:row>
    <x:row r="2">
      <x:c r="A2" s="62" t="str">
        <x:v>BS-01</x:v>
      </x:c>
      <x:c r="B2" s="62" t="str">
        <x:v>Corporate Email &amp; Collaboration</x:v>
      </x:c>
      <x:c r="C2" s="62" t="str">
        <x:v>COO</x:v>
      </x:c>
      <x:c r="D2" s="62" t="str">
        <x:v>AST-001, AST-002, AST-003, AST-004, AST-008</x:v>
      </x:c>
      <x:c r="E2" s="62" t="str">
        <x:v>Severe disruption to communication, approvals, customer/vendor coordination and remote work.</x:v>
      </x:c>
      <x:c r="F2" s="62" t="str">
        <x:v>24 hours</x:v>
      </x:c>
      <x:c r="G2" s="62" t="str">
        <x:v>4 hours</x:v>
      </x:c>
      <x:c r="H2" s="62" t="str">
        <x:v>4 hours</x:v>
      </x:c>
      <x:c r="I2" s="62" t="str">
        <x:v>Critical</x:v>
      </x:c>
      <x:c r="J2" s="62" t="str">
        <x:v>Microsoft 365 + Entra ID + DNS + Internet</x:v>
      </x:c>
      <x:c r="K2" s="117"/>
      <x:c r="L2" s="117"/>
      <x:c r="M2" s="117"/>
      <x:c r="N2" s="117"/>
      <x:c r="O2" s="117"/>
      <x:c r="P2" s="117"/>
      <x:c r="Q2" s="117"/>
      <x:c r="R2" s="117"/>
      <x:c r="S2" s="117"/>
      <x:c r="T2" s="117"/>
      <x:c r="U2" s="117"/>
      <x:c r="V2" s="117"/>
      <x:c r="W2" s="117"/>
      <x:c r="X2" s="117"/>
      <x:c r="Y2" s="117"/>
    </x:row>
    <x:row r="3">
      <x:c r="A3" s="62" t="str">
        <x:v>BS-02</x:v>
      </x:c>
      <x:c r="B3" s="62" t="str">
        <x:v>Financial Operations</x:v>
      </x:c>
      <x:c r="C3" s="62" t="str">
        <x:v>Finance Manager</x:v>
      </x:c>
      <x:c r="D3" s="62" t="str">
        <x:v>AST-004, AST-005, AST-011, AST-030</x:v>
      </x:c>
      <x:c r="E3" s="62" t="str">
        <x:v>Invoices, payments, reporting and management decisions disrupted; fraud exposure increases.</x:v>
      </x:c>
      <x:c r="F3" s="62" t="str">
        <x:v>8 hours</x:v>
      </x:c>
      <x:c r="G3" s="62" t="str">
        <x:v>4 hours</x:v>
      </x:c>
      <x:c r="H3" s="62" t="str">
        <x:v>4 hours</x:v>
      </x:c>
      <x:c r="I3" s="62" t="str">
        <x:v>Critical</x:v>
      </x:c>
      <x:c r="J3" s="62" t="str">
        <x:v>Accounting SaaS + Finance identities + Internet</x:v>
      </x:c>
      <x:c r="K3" s="117"/>
      <x:c r="L3" s="117"/>
      <x:c r="M3" s="117"/>
      <x:c r="N3" s="117"/>
      <x:c r="O3" s="117"/>
      <x:c r="P3" s="117"/>
      <x:c r="Q3" s="117"/>
      <x:c r="R3" s="117"/>
      <x:c r="S3" s="117"/>
      <x:c r="T3" s="117"/>
      <x:c r="U3" s="117"/>
      <x:c r="V3" s="117"/>
      <x:c r="W3" s="117"/>
      <x:c r="X3" s="117"/>
      <x:c r="Y3" s="117"/>
    </x:row>
    <x:row r="4">
      <x:c r="A4" s="62" t="str">
        <x:v>BS-03</x:v>
      </x:c>
      <x:c r="B4" s="62" t="str">
        <x:v>Customer Relationship Management</x:v>
      </x:c>
      <x:c r="C4" s="62" t="str">
        <x:v>Sales Director</x:v>
      </x:c>
      <x:c r="D4" s="62" t="str">
        <x:v>AST-006, AST-028, AST-001</x:v>
      </x:c>
      <x:c r="E4" s="62" t="str">
        <x:v>Sales/customer service loses current contacts, commitments and pipeline information.</x:v>
      </x:c>
      <x:c r="F4" s="62" t="str">
        <x:v>24 hours</x:v>
      </x:c>
      <x:c r="G4" s="62" t="str">
        <x:v>8 hours</x:v>
      </x:c>
      <x:c r="H4" s="62" t="str">
        <x:v>8 hours</x:v>
      </x:c>
      <x:c r="I4" s="62" t="str">
        <x:v>High</x:v>
      </x:c>
      <x:c r="J4" s="62" t="str">
        <x:v>CRM + Internet + Email</x:v>
      </x:c>
      <x:c r="K4" s="117"/>
      <x:c r="L4" s="117"/>
      <x:c r="M4" s="117"/>
      <x:c r="N4" s="117"/>
      <x:c r="O4" s="117"/>
      <x:c r="P4" s="117"/>
      <x:c r="Q4" s="117"/>
      <x:c r="R4" s="117"/>
      <x:c r="S4" s="117"/>
      <x:c r="T4" s="117"/>
      <x:c r="U4" s="117"/>
      <x:c r="V4" s="117"/>
      <x:c r="W4" s="117"/>
      <x:c r="X4" s="117"/>
      <x:c r="Y4" s="117"/>
    </x:row>
    <x:row r="5">
      <x:c r="A5" s="62" t="str">
        <x:v>BS-04</x:v>
      </x:c>
      <x:c r="B5" s="62" t="str">
        <x:v>Employee HR Administration</x:v>
      </x:c>
      <x:c r="C5" s="62" t="str">
        <x:v>HR Manager</x:v>
      </x:c>
      <x:c r="D5" s="62" t="str">
        <x:v>AST-007, AST-029, AST-001</x:v>
      </x:c>
      <x:c r="E5" s="62" t="str">
        <x:v>HR requests, personnel administration and confidential employee processes delayed.</x:v>
      </x:c>
      <x:c r="F5" s="62" t="str">
        <x:v>48 hours</x:v>
      </x:c>
      <x:c r="G5" s="62" t="str">
        <x:v>12 hours</x:v>
      </x:c>
      <x:c r="H5" s="62" t="str">
        <x:v>8 hours</x:v>
      </x:c>
      <x:c r="I5" s="62" t="str">
        <x:v>High</x:v>
      </x:c>
      <x:c r="J5" s="62" t="str">
        <x:v>HR SaaS + Internet + Email</x:v>
      </x:c>
      <x:c r="K5" s="117"/>
      <x:c r="L5" s="117"/>
      <x:c r="M5" s="117"/>
      <x:c r="N5" s="117"/>
      <x:c r="O5" s="117"/>
      <x:c r="P5" s="117"/>
      <x:c r="Q5" s="117"/>
      <x:c r="R5" s="117"/>
      <x:c r="S5" s="117"/>
      <x:c r="T5" s="117"/>
      <x:c r="U5" s="117"/>
      <x:c r="V5" s="117"/>
      <x:c r="W5" s="117"/>
      <x:c r="X5" s="117"/>
      <x:c r="Y5" s="117"/>
    </x:row>
    <x:row r="6">
      <x:c r="A6" s="62" t="str">
        <x:v>BS-05</x:v>
      </x:c>
      <x:c r="B6" s="62" t="str">
        <x:v>Corporate Network &amp; Remote Access</x:v>
      </x:c>
      <x:c r="C6" s="62" t="str">
        <x:v>IT Manager</x:v>
      </x:c>
      <x:c r="D6" s="62" t="str">
        <x:v>AST-013, AST-014, AST-015, AST-016, AST-017, AST-026, AST-027</x:v>
      </x:c>
      <x:c r="E6" s="62" t="str">
        <x:v>Offices or remote workers unable to reach core services; operational productivity falls sharply.</x:v>
      </x:c>
      <x:c r="F6" s="62" t="str">
        <x:v>8 hours</x:v>
      </x:c>
      <x:c r="G6" s="62" t="str">
        <x:v>4 hours</x:v>
      </x:c>
      <x:c r="H6" s="62" t="str">
        <x:v>1 hour</x:v>
      </x:c>
      <x:c r="I6" s="62" t="str">
        <x:v>Critical</x:v>
      </x:c>
      <x:c r="J6" s="62" t="str">
        <x:v>ISP + Firewalls + Network + Identity</x:v>
      </x:c>
      <x:c r="K6" s="117"/>
      <x:c r="L6" s="117"/>
      <x:c r="M6" s="117"/>
      <x:c r="N6" s="117"/>
      <x:c r="O6" s="117"/>
      <x:c r="P6" s="117"/>
      <x:c r="Q6" s="117"/>
      <x:c r="R6" s="117"/>
      <x:c r="S6" s="117"/>
      <x:c r="T6" s="117"/>
      <x:c r="U6" s="117"/>
      <x:c r="V6" s="117"/>
      <x:c r="W6" s="117"/>
      <x:c r="X6" s="117"/>
      <x:c r="Y6" s="117"/>
    </x:row>
    <x:row r="7">
      <x:c r="A7" s="62" t="str">
        <x:v>BS-06</x:v>
      </x:c>
      <x:c r="B7" s="62" t="str">
        <x:v>Legacy Shared File Access</x:v>
      </x:c>
      <x:c r="C7" s="62" t="str">
        <x:v>Operations Manager</x:v>
      </x:c>
      <x:c r="D7" s="62" t="str">
        <x:v>AST-018, AST-019, AST-020, AST-021</x:v>
      </x:c>
      <x:c r="E7" s="62" t="str">
        <x:v>Operations teams lose access to historical/current shared documents and spreadsheets.</x:v>
      </x:c>
      <x:c r="F7" s="62" t="str">
        <x:v>24 hours</x:v>
      </x:c>
      <x:c r="G7" s="62" t="str">
        <x:v>8 hours</x:v>
      </x:c>
      <x:c r="H7" s="62" t="str">
        <x:v>4 hours</x:v>
      </x:c>
      <x:c r="I7" s="62" t="str">
        <x:v>High</x:v>
      </x:c>
      <x:c r="J7" s="62" t="str">
        <x:v>Virtualization + AD + File Server + Backup</x:v>
      </x:c>
      <x:c r="K7" s="117"/>
      <x:c r="L7" s="117"/>
      <x:c r="M7" s="117"/>
      <x:c r="N7" s="117"/>
      <x:c r="O7" s="117"/>
      <x:c r="P7" s="117"/>
      <x:c r="Q7" s="117"/>
      <x:c r="R7" s="117"/>
      <x:c r="S7" s="117"/>
      <x:c r="T7" s="117"/>
      <x:c r="U7" s="117"/>
      <x:c r="V7" s="117"/>
      <x:c r="W7" s="117"/>
      <x:c r="X7" s="117"/>
      <x:c r="Y7" s="117"/>
    </x:row>
    <x:row r="8">
      <x:c r="A8" s="62" t="str">
        <x:v>BS-07</x:v>
      </x:c>
      <x:c r="B8" s="62" t="str">
        <x:v>Public Website &amp; Domain Presence</x:v>
      </x:c>
      <x:c r="C8" s="62" t="str">
        <x:v>Marketing Manager</x:v>
      </x:c>
      <x:c r="D8" s="62" t="str">
        <x:v>AST-024, AST-025</x:v>
      </x:c>
      <x:c r="E8" s="62" t="str">
        <x:v>Public information/inquiry channels unavailable; reputational impact and email/domain risk possible.</x:v>
      </x:c>
      <x:c r="F8" s="62" t="str">
        <x:v>48 hours</x:v>
      </x:c>
      <x:c r="G8" s="62" t="str">
        <x:v>24 hours</x:v>
      </x:c>
      <x:c r="H8" s="62" t="str">
        <x:v>24 hours</x:v>
      </x:c>
      <x:c r="I8" s="62" t="str">
        <x:v>Medium</x:v>
      </x:c>
      <x:c r="J8" s="62" t="str">
        <x:v>DNS + Hosting Provider</x:v>
      </x:c>
      <x:c r="K8" s="117"/>
      <x:c r="L8" s="117"/>
      <x:c r="M8" s="117"/>
      <x:c r="N8" s="117"/>
      <x:c r="O8" s="117"/>
      <x:c r="P8" s="117"/>
      <x:c r="Q8" s="117"/>
      <x:c r="R8" s="117"/>
      <x:c r="S8" s="117"/>
      <x:c r="T8" s="117"/>
      <x:c r="U8" s="117"/>
      <x:c r="V8" s="117"/>
      <x:c r="W8" s="117"/>
      <x:c r="X8" s="117"/>
      <x:c r="Y8" s="117"/>
    </x:row>
    <x:row r="9">
      <x:c r="A9" s="62" t="str">
        <x:v>BS-08</x:v>
      </x:c>
      <x:c r="B9" s="62" t="str">
        <x:v>Endpoint Workforce Computing</x:v>
      </x:c>
      <x:c r="C9" s="62" t="str">
        <x:v>COO</x:v>
      </x:c>
      <x:c r="D9" s="62" t="str">
        <x:v>AST-009, AST-010, AST-011, AST-012, AST-023, AST-022</x:v>
      </x:c>
      <x:c r="E9" s="62" t="str">
        <x:v>Staff productivity and system access degrade across departments.</x:v>
      </x:c>
      <x:c r="F9" s="62" t="str">
        <x:v>24 hours</x:v>
      </x:c>
      <x:c r="G9" s="62" t="str">
        <x:v>12 hours</x:v>
      </x:c>
      <x:c r="H9" s="62" t="str">
        <x:v>8 hours</x:v>
      </x:c>
      <x:c r="I9" s="62" t="str">
        <x:v>High</x:v>
      </x:c>
      <x:c r="J9" s="62" t="str">
        <x:v>Endpoints + Identity + RMM + EDR</x:v>
      </x:c>
      <x:c r="K9" s="117"/>
      <x:c r="L9" s="117"/>
      <x:c r="M9" s="117"/>
      <x:c r="N9" s="117"/>
      <x:c r="O9" s="117"/>
      <x:c r="P9" s="117"/>
      <x:c r="Q9" s="117"/>
      <x:c r="R9" s="117"/>
      <x:c r="S9" s="117"/>
      <x:c r="T9" s="117"/>
      <x:c r="U9" s="117"/>
      <x:c r="V9" s="117"/>
      <x:c r="W9" s="117"/>
      <x:c r="X9" s="117"/>
      <x:c r="Y9" s="117"/>
    </x:row>
    <x:row r="10">
      <x:c r="A10" s="62" t="str">
        <x:v>BS-09</x:v>
      </x:c>
      <x:c r="B10" s="62" t="str">
        <x:v>Cybersecurity Monitoring &amp; Response</x:v>
      </x:c>
      <x:c r="C10" s="62" t="str">
        <x:v>IT Manager</x:v>
      </x:c>
      <x:c r="D10" s="62" t="str">
        <x:v>AST-023, AST-033, AST-034, AST-013, AST-001</x:v>
      </x:c>
      <x:c r="E10" s="62" t="str">
        <x:v>Threats may remain undetected, slowing containment and increasing breach impact.</x:v>
      </x:c>
      <x:c r="F10" s="62" t="str">
        <x:v>8 hours</x:v>
      </x:c>
      <x:c r="G10" s="62" t="str">
        <x:v>4 hours</x:v>
      </x:c>
      <x:c r="H10" s="62" t="str">
        <x:v>2 hours</x:v>
      </x:c>
      <x:c r="I10" s="62" t="str">
        <x:v>Critical</x:v>
      </x:c>
      <x:c r="J10" s="62" t="str">
        <x:v>EDR + Email Security + Logs + IT Staff</x:v>
      </x:c>
      <x:c r="K10" s="117"/>
      <x:c r="L10" s="117"/>
      <x:c r="M10" s="117"/>
      <x:c r="N10" s="117"/>
      <x:c r="O10" s="117"/>
      <x:c r="P10" s="117"/>
      <x:c r="Q10" s="117"/>
      <x:c r="R10" s="117"/>
      <x:c r="S10" s="117"/>
      <x:c r="T10" s="117"/>
      <x:c r="U10" s="117"/>
      <x:c r="V10" s="117"/>
      <x:c r="W10" s="117"/>
      <x:c r="X10" s="117"/>
      <x:c r="Y10" s="117"/>
    </x:row>
    <x:row r="11">
      <x:c r="A11" s="62" t="str">
        <x:v>BS-10</x:v>
      </x:c>
      <x:c r="B11" s="62" t="str">
        <x:v>Backup &amp; Recovery</x:v>
      </x:c>
      <x:c r="C11" s="62" t="str">
        <x:v>IT Manager</x:v>
      </x:c>
      <x:c r="D11" s="62" t="str">
        <x:v>AST-021, AST-020, AST-019</x:v>
      </x:c>
      <x:c r="E11" s="62" t="str">
        <x:v>Recovery from ransomware, corruption or infrastructure failure may be delayed or impossible.</x:v>
      </x:c>
      <x:c r="F11" s="62" t="str">
        <x:v>8 hours</x:v>
      </x:c>
      <x:c r="G11" s="62" t="str">
        <x:v>4 hours</x:v>
      </x:c>
      <x:c r="H11" s="62" t="str">
        <x:v>4 hours</x:v>
      </x:c>
      <x:c r="I11" s="62" t="str">
        <x:v>Critical</x:v>
      </x:c>
      <x:c r="J11" s="62" t="str">
        <x:v>Backup Repository + Cloud Copy + Admin Credentials</x:v>
      </x:c>
      <x:c r="K11" s="117"/>
      <x:c r="L11" s="117"/>
      <x:c r="M11" s="117"/>
      <x:c r="N11" s="117"/>
      <x:c r="O11" s="117"/>
      <x:c r="P11" s="117"/>
      <x:c r="Q11" s="117"/>
      <x:c r="R11" s="117"/>
      <x:c r="S11" s="117"/>
      <x:c r="T11" s="117"/>
      <x:c r="U11" s="117"/>
      <x:c r="V11" s="117"/>
      <x:c r="W11" s="117"/>
      <x:c r="X11" s="117"/>
      <x:c r="Y11" s="117"/>
    </x:row>
    <x:row r="12">
      <x:c r="A12" s="117"/>
      <x:c r="B12" s="117"/>
      <x:c r="C12" s="117"/>
      <x:c r="D12" s="117"/>
      <x:c r="E12" s="117"/>
      <x:c r="F12" s="117"/>
      <x:c r="G12" s="117"/>
      <x:c r="H12" s="117"/>
      <x:c r="I12" s="117"/>
      <x:c r="J12" s="117"/>
      <x:c r="K12" s="117"/>
      <x:c r="L12" s="117"/>
      <x:c r="M12" s="117"/>
      <x:c r="N12" s="117"/>
      <x:c r="O12" s="117"/>
      <x:c r="P12" s="117"/>
      <x:c r="Q12" s="117"/>
      <x:c r="R12" s="117"/>
      <x:c r="S12" s="117"/>
      <x:c r="T12" s="117"/>
      <x:c r="U12" s="117"/>
      <x:c r="V12" s="117"/>
      <x:c r="W12" s="117"/>
      <x:c r="X12" s="117"/>
      <x:c r="Y12" s="117"/>
    </x:row>
    <x:row r="13">
      <x:c r="A13" s="117"/>
      <x:c r="B13" s="117"/>
      <x:c r="C13" s="117"/>
      <x:c r="D13" s="117"/>
      <x:c r="E13" s="117"/>
      <x:c r="F13" s="117"/>
      <x:c r="G13" s="117"/>
      <x:c r="H13" s="117"/>
      <x:c r="I13" s="117"/>
      <x:c r="J13" s="117"/>
      <x:c r="K13" s="117"/>
      <x:c r="L13" s="117"/>
      <x:c r="M13" s="117"/>
      <x:c r="N13" s="117"/>
      <x:c r="O13" s="117"/>
      <x:c r="P13" s="117"/>
      <x:c r="Q13" s="117"/>
      <x:c r="R13" s="117"/>
      <x:c r="S13" s="117"/>
      <x:c r="T13" s="117"/>
      <x:c r="U13" s="117"/>
      <x:c r="V13" s="117"/>
      <x:c r="W13" s="117"/>
      <x:c r="X13" s="117"/>
      <x:c r="Y13" s="117"/>
    </x:row>
    <x:row r="14">
      <x:c r="A14" s="117"/>
      <x:c r="B14" s="117"/>
      <x:c r="C14" s="117"/>
      <x:c r="D14" s="117"/>
      <x:c r="E14" s="117"/>
      <x:c r="F14" s="117"/>
      <x:c r="G14" s="117"/>
      <x:c r="H14" s="117"/>
      <x:c r="I14" s="117"/>
      <x:c r="J14" s="117"/>
      <x:c r="K14" s="117"/>
      <x:c r="L14" s="117"/>
      <x:c r="M14" s="117"/>
      <x:c r="N14" s="117"/>
      <x:c r="O14" s="117"/>
      <x:c r="P14" s="117"/>
      <x:c r="Q14" s="117"/>
      <x:c r="R14" s="117"/>
      <x:c r="S14" s="117"/>
      <x:c r="T14" s="117"/>
      <x:c r="U14" s="117"/>
      <x:c r="V14" s="117"/>
      <x:c r="W14" s="117"/>
      <x:c r="X14" s="117"/>
      <x:c r="Y14" s="117"/>
    </x:row>
    <x:row r="15">
      <x:c r="A15" s="117"/>
      <x:c r="B15" s="117"/>
      <x:c r="C15" s="117"/>
      <x:c r="D15" s="117"/>
      <x:c r="E15" s="117"/>
      <x:c r="F15" s="117"/>
      <x:c r="G15" s="117"/>
      <x:c r="H15" s="117"/>
      <x:c r="I15" s="117"/>
      <x:c r="J15" s="117"/>
      <x:c r="K15" s="117"/>
      <x:c r="L15" s="117"/>
      <x:c r="M15" s="117"/>
      <x:c r="N15" s="117"/>
      <x:c r="O15" s="117"/>
      <x:c r="P15" s="117"/>
      <x:c r="Q15" s="117"/>
      <x:c r="R15" s="117"/>
      <x:c r="S15" s="117"/>
      <x:c r="T15" s="117"/>
      <x:c r="U15" s="117"/>
      <x:c r="V15" s="117"/>
      <x:c r="W15" s="117"/>
      <x:c r="X15" s="117"/>
      <x:c r="Y15" s="117"/>
    </x:row>
    <x:row r="16">
      <x:c r="A16" s="117"/>
      <x:c r="B16" s="117"/>
      <x:c r="C16" s="117"/>
      <x:c r="D16" s="117"/>
      <x:c r="E16" s="117"/>
      <x:c r="F16" s="117"/>
      <x:c r="G16" s="117"/>
      <x:c r="H16" s="117"/>
      <x:c r="I16" s="117"/>
      <x:c r="J16" s="117"/>
      <x:c r="K16" s="117"/>
      <x:c r="L16" s="117"/>
      <x:c r="M16" s="117"/>
      <x:c r="N16" s="117"/>
      <x:c r="O16" s="117"/>
      <x:c r="P16" s="117"/>
      <x:c r="Q16" s="117"/>
      <x:c r="R16" s="117"/>
      <x:c r="S16" s="117"/>
      <x:c r="T16" s="117"/>
      <x:c r="U16" s="117"/>
      <x:c r="V16" s="117"/>
      <x:c r="W16" s="117"/>
      <x:c r="X16" s="117"/>
      <x:c r="Y16" s="117"/>
    </x:row>
    <x:row r="17">
      <x:c r="A17" s="117"/>
      <x:c r="B17" s="117"/>
      <x:c r="C17" s="117"/>
      <x:c r="D17" s="117"/>
      <x:c r="E17" s="117"/>
      <x:c r="F17" s="117"/>
      <x:c r="G17" s="117"/>
      <x:c r="H17" s="117"/>
      <x:c r="I17" s="117"/>
      <x:c r="J17" s="117"/>
      <x:c r="K17" s="117"/>
      <x:c r="L17" s="117"/>
      <x:c r="M17" s="117"/>
      <x:c r="N17" s="117"/>
      <x:c r="O17" s="117"/>
      <x:c r="P17" s="117"/>
      <x:c r="Q17" s="117"/>
      <x:c r="R17" s="117"/>
      <x:c r="S17" s="117"/>
      <x:c r="T17" s="117"/>
      <x:c r="U17" s="117"/>
      <x:c r="V17" s="117"/>
      <x:c r="W17" s="117"/>
      <x:c r="X17" s="117"/>
      <x:c r="Y17" s="117"/>
    </x:row>
    <x:row r="18">
      <x:c r="A18" s="117"/>
      <x:c r="B18" s="117"/>
      <x:c r="C18" s="117"/>
      <x:c r="D18" s="117"/>
      <x:c r="E18" s="117"/>
      <x:c r="F18" s="117"/>
      <x:c r="G18" s="117"/>
      <x:c r="H18" s="117"/>
      <x:c r="I18" s="117"/>
      <x:c r="J18" s="117"/>
      <x:c r="K18" s="117"/>
      <x:c r="L18" s="117"/>
      <x:c r="M18" s="117"/>
      <x:c r="N18" s="117"/>
      <x:c r="O18" s="117"/>
      <x:c r="P18" s="117"/>
      <x:c r="Q18" s="117"/>
      <x:c r="R18" s="117"/>
      <x:c r="S18" s="117"/>
      <x:c r="T18" s="117"/>
      <x:c r="U18" s="117"/>
      <x:c r="V18" s="117"/>
      <x:c r="W18" s="117"/>
      <x:c r="X18" s="117"/>
      <x:c r="Y18" s="117"/>
    </x:row>
    <x:row r="19">
      <x:c r="A19" s="117"/>
      <x:c r="B19" s="117"/>
      <x:c r="C19" s="117"/>
      <x:c r="D19" s="117"/>
      <x:c r="E19" s="117"/>
      <x:c r="F19" s="117"/>
      <x:c r="G19" s="117"/>
      <x:c r="H19" s="117"/>
      <x:c r="I19" s="117"/>
      <x:c r="J19" s="117"/>
      <x:c r="K19" s="117"/>
      <x:c r="L19" s="117"/>
      <x:c r="M19" s="117"/>
      <x:c r="N19" s="117"/>
      <x:c r="O19" s="117"/>
      <x:c r="P19" s="117"/>
      <x:c r="Q19" s="117"/>
      <x:c r="R19" s="117"/>
      <x:c r="S19" s="117"/>
      <x:c r="T19" s="117"/>
      <x:c r="U19" s="117"/>
      <x:c r="V19" s="117"/>
      <x:c r="W19" s="117"/>
      <x:c r="X19" s="117"/>
      <x:c r="Y19" s="117"/>
    </x:row>
    <x:row r="20">
      <x:c r="A20" s="117"/>
      <x:c r="B20" s="117"/>
      <x:c r="C20" s="117"/>
      <x:c r="D20" s="117"/>
      <x:c r="E20" s="117"/>
      <x:c r="F20" s="117"/>
      <x:c r="G20" s="117"/>
      <x:c r="H20" s="117"/>
      <x:c r="I20" s="117"/>
      <x:c r="J20" s="117"/>
      <x:c r="K20" s="117"/>
      <x:c r="L20" s="117"/>
      <x:c r="M20" s="117"/>
      <x:c r="N20" s="117"/>
      <x:c r="O20" s="117"/>
      <x:c r="P20" s="117"/>
      <x:c r="Q20" s="117"/>
      <x:c r="R20" s="117"/>
      <x:c r="S20" s="117"/>
      <x:c r="T20" s="117"/>
      <x:c r="U20" s="117"/>
      <x:c r="V20" s="117"/>
      <x:c r="W20" s="117"/>
      <x:c r="X20" s="117"/>
      <x:c r="Y20" s="117"/>
    </x:row>
    <x:row r="21">
      <x:c r="A21" s="117"/>
      <x:c r="B21" s="117"/>
      <x:c r="C21" s="117"/>
      <x:c r="D21" s="117"/>
      <x:c r="E21" s="117"/>
      <x:c r="F21" s="117"/>
      <x:c r="G21" s="117"/>
      <x:c r="H21" s="117"/>
      <x:c r="I21" s="117"/>
      <x:c r="J21" s="117"/>
      <x:c r="K21" s="117"/>
      <x:c r="L21" s="117"/>
      <x:c r="M21" s="117"/>
      <x:c r="N21" s="117"/>
      <x:c r="O21" s="117"/>
      <x:c r="P21" s="117"/>
      <x:c r="Q21" s="117"/>
      <x:c r="R21" s="117"/>
      <x:c r="S21" s="117"/>
      <x:c r="T21" s="117"/>
      <x:c r="U21" s="117"/>
      <x:c r="V21" s="117"/>
      <x:c r="W21" s="117"/>
      <x:c r="X21" s="117"/>
      <x:c r="Y21" s="117"/>
    </x:row>
    <x:row r="22">
      <x:c r="A22" s="117"/>
      <x:c r="B22" s="117"/>
      <x:c r="C22" s="117"/>
      <x:c r="D22" s="117"/>
      <x:c r="E22" s="117"/>
      <x:c r="F22" s="117"/>
      <x:c r="G22" s="117"/>
      <x:c r="H22" s="117"/>
      <x:c r="I22" s="117"/>
      <x:c r="J22" s="117"/>
      <x:c r="K22" s="117"/>
      <x:c r="L22" s="117"/>
      <x:c r="M22" s="117"/>
      <x:c r="N22" s="117"/>
      <x:c r="O22" s="117"/>
      <x:c r="P22" s="117"/>
      <x:c r="Q22" s="117"/>
      <x:c r="R22" s="117"/>
      <x:c r="S22" s="117"/>
      <x:c r="T22" s="117"/>
      <x:c r="U22" s="117"/>
      <x:c r="V22" s="117"/>
      <x:c r="W22" s="117"/>
      <x:c r="X22" s="117"/>
      <x:c r="Y22" s="117"/>
    </x:row>
    <x:row r="23">
      <x:c r="A23" s="117"/>
      <x:c r="B23" s="117"/>
      <x:c r="C23" s="117"/>
      <x:c r="D23" s="117"/>
      <x:c r="E23" s="117"/>
      <x:c r="F23" s="117"/>
      <x:c r="G23" s="117"/>
      <x:c r="H23" s="117"/>
      <x:c r="I23" s="117"/>
      <x:c r="J23" s="117"/>
      <x:c r="K23" s="117"/>
      <x:c r="L23" s="117"/>
      <x:c r="M23" s="117"/>
      <x:c r="N23" s="117"/>
      <x:c r="O23" s="117"/>
      <x:c r="P23" s="117"/>
      <x:c r="Q23" s="117"/>
      <x:c r="R23" s="117"/>
      <x:c r="S23" s="117"/>
      <x:c r="T23" s="117"/>
      <x:c r="U23" s="117"/>
      <x:c r="V23" s="117"/>
      <x:c r="W23" s="117"/>
      <x:c r="X23" s="117"/>
      <x:c r="Y23" s="117"/>
    </x:row>
    <x:row r="24">
      <x:c r="A24" s="117"/>
      <x:c r="B24" s="117"/>
      <x:c r="C24" s="117"/>
      <x:c r="D24" s="117"/>
      <x:c r="E24" s="117"/>
      <x:c r="F24" s="117"/>
      <x:c r="G24" s="117"/>
      <x:c r="H24" s="117"/>
      <x:c r="I24" s="117"/>
      <x:c r="J24" s="117"/>
      <x:c r="K24" s="117"/>
      <x:c r="L24" s="117"/>
      <x:c r="M24" s="117"/>
      <x:c r="N24" s="117"/>
      <x:c r="O24" s="117"/>
      <x:c r="P24" s="117"/>
      <x:c r="Q24" s="117"/>
      <x:c r="R24" s="117"/>
      <x:c r="S24" s="117"/>
      <x:c r="T24" s="117"/>
      <x:c r="U24" s="117"/>
      <x:c r="V24" s="117"/>
      <x:c r="W24" s="117"/>
      <x:c r="X24" s="117"/>
      <x:c r="Y24" s="117"/>
    </x:row>
    <x:row r="25">
      <x:c r="A25" s="117"/>
      <x:c r="B25" s="117"/>
      <x:c r="C25" s="117"/>
      <x:c r="D25" s="117"/>
      <x:c r="E25" s="117"/>
      <x:c r="F25" s="117"/>
      <x:c r="G25" s="117"/>
      <x:c r="H25" s="117"/>
      <x:c r="I25" s="117"/>
      <x:c r="J25" s="117"/>
      <x:c r="K25" s="117"/>
      <x:c r="L25" s="117"/>
      <x:c r="M25" s="117"/>
      <x:c r="N25" s="117"/>
      <x:c r="O25" s="117"/>
      <x:c r="P25" s="117"/>
      <x:c r="Q25" s="117"/>
      <x:c r="R25" s="117"/>
      <x:c r="S25" s="117"/>
      <x:c r="T25" s="117"/>
      <x:c r="U25" s="117"/>
      <x:c r="V25" s="117"/>
      <x:c r="W25" s="117"/>
      <x:c r="X25" s="117"/>
      <x:c r="Y25" s="117"/>
    </x:row>
    <x:row r="26">
      <x:c r="A26" s="117"/>
      <x:c r="B26" s="117"/>
      <x:c r="C26" s="117"/>
      <x:c r="D26" s="117"/>
      <x:c r="E26" s="117"/>
      <x:c r="F26" s="117"/>
      <x:c r="G26" s="117"/>
      <x:c r="H26" s="117"/>
      <x:c r="I26" s="117"/>
      <x:c r="J26" s="117"/>
      <x:c r="K26" s="117"/>
      <x:c r="L26" s="117"/>
      <x:c r="M26" s="117"/>
      <x:c r="N26" s="117"/>
      <x:c r="O26" s="117"/>
      <x:c r="P26" s="117"/>
      <x:c r="Q26" s="117"/>
      <x:c r="R26" s="117"/>
      <x:c r="S26" s="117"/>
      <x:c r="T26" s="117"/>
      <x:c r="U26" s="117"/>
      <x:c r="V26" s="117"/>
      <x:c r="W26" s="117"/>
      <x:c r="X26" s="117"/>
      <x:c r="Y26" s="117"/>
    </x:row>
    <x:row r="27">
      <x:c r="A27" s="117"/>
      <x:c r="B27" s="117"/>
      <x:c r="C27" s="117"/>
      <x:c r="D27" s="117"/>
      <x:c r="E27" s="117"/>
      <x:c r="F27" s="117"/>
      <x:c r="G27" s="117"/>
      <x:c r="H27" s="117"/>
      <x:c r="I27" s="117"/>
      <x:c r="J27" s="117"/>
      <x:c r="K27" s="117"/>
      <x:c r="L27" s="117"/>
      <x:c r="M27" s="117"/>
      <x:c r="N27" s="117"/>
      <x:c r="O27" s="117"/>
      <x:c r="P27" s="117"/>
      <x:c r="Q27" s="117"/>
      <x:c r="R27" s="117"/>
      <x:c r="S27" s="117"/>
      <x:c r="T27" s="117"/>
      <x:c r="U27" s="117"/>
      <x:c r="V27" s="117"/>
      <x:c r="W27" s="117"/>
      <x:c r="X27" s="117"/>
      <x:c r="Y27" s="117"/>
    </x:row>
    <x:row r="28">
      <x:c r="A28" s="117"/>
      <x:c r="B28" s="117"/>
      <x:c r="C28" s="117"/>
      <x:c r="D28" s="117"/>
      <x:c r="E28" s="117"/>
      <x:c r="F28" s="117"/>
      <x:c r="G28" s="117"/>
      <x:c r="H28" s="117"/>
      <x:c r="I28" s="117"/>
      <x:c r="J28" s="117"/>
      <x:c r="K28" s="117"/>
      <x:c r="L28" s="117"/>
      <x:c r="M28" s="117"/>
      <x:c r="N28" s="117"/>
      <x:c r="O28" s="117"/>
      <x:c r="P28" s="117"/>
      <x:c r="Q28" s="117"/>
      <x:c r="R28" s="117"/>
      <x:c r="S28" s="117"/>
      <x:c r="T28" s="117"/>
      <x:c r="U28" s="117"/>
      <x:c r="V28" s="117"/>
      <x:c r="W28" s="117"/>
      <x:c r="X28" s="117"/>
      <x:c r="Y28" s="117"/>
    </x:row>
    <x:row r="29">
      <x:c r="A29" s="117"/>
      <x:c r="B29" s="117"/>
      <x:c r="C29" s="117"/>
      <x:c r="D29" s="117"/>
      <x:c r="E29" s="117"/>
      <x:c r="F29" s="117"/>
      <x:c r="G29" s="117"/>
      <x:c r="H29" s="117"/>
      <x:c r="I29" s="117"/>
      <x:c r="J29" s="117"/>
      <x:c r="K29" s="117"/>
      <x:c r="L29" s="117"/>
      <x:c r="M29" s="117"/>
      <x:c r="N29" s="117"/>
      <x:c r="O29" s="117"/>
      <x:c r="P29" s="117"/>
      <x:c r="Q29" s="117"/>
      <x:c r="R29" s="117"/>
      <x:c r="S29" s="117"/>
      <x:c r="T29" s="117"/>
      <x:c r="U29" s="117"/>
      <x:c r="V29" s="117"/>
      <x:c r="W29" s="117"/>
      <x:c r="X29" s="117"/>
      <x:c r="Y29" s="117"/>
    </x:row>
    <x:row r="30">
      <x:c r="A30" s="117"/>
      <x:c r="B30" s="117"/>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row>
    <x:row r="31">
      <x:c r="A31" s="117"/>
      <x:c r="B31" s="117"/>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row>
    <x:row r="32">
      <x:c r="A32" s="117"/>
      <x:c r="B32" s="117"/>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row>
    <x:row r="33">
      <x:c r="A33" s="117"/>
      <x:c r="B33" s="117"/>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row>
    <x:row r="34">
      <x:c r="A34" s="117"/>
      <x:c r="B34" s="117"/>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row>
    <x:row r="35">
      <x:c r="A35" s="117"/>
      <x:c r="B35" s="117"/>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row>
    <x:row r="101">
      <x:c r="A101" s="117"/>
      <x:c r="B101" s="117"/>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row>
    <x:row r="102">
      <x:c r="A102" s="117"/>
      <x:c r="B102" s="117"/>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row>
    <x:row r="103">
      <x:c r="A103" s="117"/>
      <x:c r="B103" s="117"/>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row>
    <x:row r="104">
      <x:c r="A104" s="117"/>
      <x:c r="B104" s="117"/>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row>
    <x:row r="105">
      <x:c r="A105" s="117"/>
      <x:c r="B105" s="117"/>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row>
    <x:row r="106">
      <x:c r="A106" s="117"/>
      <x:c r="B106" s="117"/>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row>
    <x:row r="107">
      <x:c r="A107" s="117"/>
      <x:c r="B107" s="117"/>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row>
    <x:row r="201">
      <x:c r="A201" s="117"/>
      <x:c r="B201" s="117"/>
      <x:c r="C201" s="117"/>
      <x:c r="D201" s="117"/>
      <x:c r="E201" s="117"/>
      <x:c r="F201" s="117"/>
      <x:c r="G201" s="117"/>
      <x:c r="H201" s="117"/>
      <x:c r="I201" s="117"/>
      <x:c r="J201" s="117"/>
      <x:c r="K201" s="117"/>
      <x:c r="L201" s="117"/>
      <x:c r="M201" s="117"/>
      <x:c r="N201" s="117"/>
      <x:c r="O201" s="117"/>
      <x:c r="P201" s="117"/>
      <x:c r="Q201" s="117"/>
      <x:c r="R201" s="117"/>
      <x:c r="S201" s="117"/>
      <x:c r="T201" s="117"/>
      <x:c r="U201" s="117"/>
      <x:c r="V201" s="117"/>
      <x:c r="W201" s="117"/>
      <x:c r="X201" s="117"/>
      <x:c r="Y201" s="117"/>
    </x:row>
    <x:row r="202">
      <x:c r="A202" s="117"/>
      <x:c r="B202" s="117"/>
      <x:c r="C202" s="117"/>
      <x:c r="D202" s="117"/>
      <x:c r="E202" s="117"/>
      <x:c r="F202" s="117"/>
      <x:c r="G202" s="117"/>
      <x:c r="H202" s="117"/>
      <x:c r="I202" s="117"/>
      <x:c r="J202" s="117"/>
      <x:c r="K202" s="117"/>
      <x:c r="L202" s="117"/>
      <x:c r="M202" s="117"/>
      <x:c r="N202" s="117"/>
      <x:c r="O202" s="117"/>
      <x:c r="P202" s="117"/>
      <x:c r="Q202" s="117"/>
      <x:c r="R202" s="117"/>
      <x:c r="S202" s="117"/>
      <x:c r="T202" s="117"/>
      <x:c r="U202" s="117"/>
      <x:c r="V202" s="117"/>
      <x:c r="W202" s="117"/>
      <x:c r="X202" s="117"/>
      <x:c r="Y202" s="117"/>
    </x:row>
    <x:row r="203">
      <x:c r="A203" s="117"/>
      <x:c r="B203" s="117"/>
      <x:c r="C203" s="117"/>
      <x:c r="D203" s="117"/>
      <x:c r="E203" s="117"/>
      <x:c r="F203" s="117"/>
      <x:c r="G203" s="117"/>
      <x:c r="H203" s="117"/>
      <x:c r="I203" s="117"/>
      <x:c r="J203" s="117"/>
      <x:c r="K203" s="117"/>
      <x:c r="L203" s="117"/>
      <x:c r="M203" s="117"/>
      <x:c r="N203" s="117"/>
      <x:c r="O203" s="117"/>
      <x:c r="P203" s="117"/>
      <x:c r="Q203" s="117"/>
      <x:c r="R203" s="117"/>
      <x:c r="S203" s="117"/>
      <x:c r="T203" s="117"/>
      <x:c r="U203" s="117"/>
      <x:c r="V203" s="117"/>
      <x:c r="W203" s="117"/>
      <x:c r="X203" s="117"/>
      <x:c r="Y203" s="117"/>
    </x:row>
    <x:row r="204">
      <x:c r="A204" s="117"/>
      <x:c r="B204" s="117"/>
      <x:c r="C204" s="117"/>
      <x:c r="D204" s="117"/>
      <x:c r="E204" s="117"/>
      <x:c r="F204" s="117"/>
      <x:c r="G204" s="117"/>
      <x:c r="H204" s="117"/>
      <x:c r="I204" s="117"/>
      <x:c r="J204" s="117"/>
      <x:c r="K204" s="117"/>
      <x:c r="L204" s="117"/>
      <x:c r="M204" s="117"/>
      <x:c r="N204" s="117"/>
      <x:c r="O204" s="117"/>
      <x:c r="P204" s="117"/>
      <x:c r="Q204" s="117"/>
      <x:c r="R204" s="117"/>
      <x:c r="S204" s="117"/>
      <x:c r="T204" s="117"/>
      <x:c r="U204" s="117"/>
      <x:c r="V204" s="117"/>
      <x:c r="W204" s="117"/>
      <x:c r="X204" s="117"/>
      <x:c r="Y204" s="117"/>
    </x:row>
    <x:row r="205">
      <x:c r="A205" s="117"/>
      <x:c r="B205" s="117"/>
      <x:c r="C205" s="117"/>
      <x:c r="D205" s="117"/>
      <x:c r="E205" s="117"/>
      <x:c r="F205" s="117"/>
      <x:c r="G205" s="117"/>
      <x:c r="H205" s="117"/>
      <x:c r="I205" s="117"/>
      <x:c r="J205" s="117"/>
      <x:c r="K205" s="117"/>
      <x:c r="L205" s="117"/>
      <x:c r="M205" s="117"/>
      <x:c r="N205" s="117"/>
      <x:c r="O205" s="117"/>
      <x:c r="P205" s="117"/>
      <x:c r="Q205" s="117"/>
      <x:c r="R205" s="117"/>
      <x:c r="S205" s="117"/>
      <x:c r="T205" s="117"/>
      <x:c r="U205" s="117"/>
      <x:c r="V205" s="117"/>
      <x:c r="W205" s="117"/>
      <x:c r="X205" s="117"/>
      <x:c r="Y205" s="117"/>
    </x:row>
    <x:row r="206">
      <x:c r="A206" s="117"/>
      <x:c r="B206" s="117"/>
      <x:c r="C206" s="117"/>
      <x:c r="D206" s="117"/>
      <x:c r="E206" s="117"/>
      <x:c r="F206" s="117"/>
      <x:c r="G206" s="117"/>
      <x:c r="H206" s="117"/>
      <x:c r="I206" s="117"/>
      <x:c r="J206" s="117"/>
      <x:c r="K206" s="117"/>
      <x:c r="L206" s="117"/>
      <x:c r="M206" s="117"/>
      <x:c r="N206" s="117"/>
      <x:c r="O206" s="117"/>
      <x:c r="P206" s="117"/>
      <x:c r="Q206" s="117"/>
      <x:c r="R206" s="117"/>
      <x:c r="S206" s="117"/>
      <x:c r="T206" s="117"/>
      <x:c r="U206" s="117"/>
      <x:c r="V206" s="117"/>
      <x:c r="W206" s="117"/>
      <x:c r="X206" s="117"/>
      <x:c r="Y206" s="117"/>
    </x:row>
    <x:row r="207">
      <x:c r="A207" s="117"/>
      <x:c r="B207" s="117"/>
      <x:c r="C207" s="117"/>
      <x:c r="D207" s="117"/>
      <x:c r="E207" s="117"/>
      <x:c r="F207" s="117"/>
      <x:c r="G207" s="117"/>
      <x:c r="H207" s="117"/>
      <x:c r="I207" s="117"/>
      <x:c r="J207" s="117"/>
      <x:c r="K207" s="117"/>
      <x:c r="L207" s="117"/>
      <x:c r="M207" s="117"/>
      <x:c r="N207" s="117"/>
      <x:c r="O207" s="117"/>
      <x:c r="P207" s="117"/>
      <x:c r="Q207" s="117"/>
      <x:c r="R207" s="117"/>
      <x:c r="S207" s="117"/>
      <x:c r="T207" s="117"/>
      <x:c r="U207" s="117"/>
      <x:c r="V207" s="117"/>
      <x:c r="W207" s="117"/>
      <x:c r="X207" s="117"/>
      <x:c r="Y207" s="117"/>
    </x:row>
    <x:row r="208">
      <x:c r="A208" s="117"/>
      <x:c r="B208" s="117"/>
      <x:c r="C208" s="117"/>
      <x:c r="D208" s="117"/>
      <x:c r="E208" s="117"/>
      <x:c r="F208" s="117"/>
      <x:c r="G208" s="117"/>
      <x:c r="H208" s="117"/>
      <x:c r="I208" s="117"/>
      <x:c r="J208" s="117"/>
      <x:c r="K208" s="117"/>
      <x:c r="L208" s="117"/>
      <x:c r="M208" s="117"/>
      <x:c r="N208" s="117"/>
      <x:c r="O208" s="117"/>
      <x:c r="P208" s="117"/>
      <x:c r="Q208" s="117"/>
      <x:c r="R208" s="117"/>
      <x:c r="S208" s="117"/>
      <x:c r="T208" s="117"/>
      <x:c r="U208" s="117"/>
      <x:c r="V208" s="117"/>
      <x:c r="W208" s="117"/>
      <x:c r="X208" s="117"/>
      <x:c r="Y208" s="117"/>
    </x:row>
    <x:row r="209">
      <x:c r="A209" s="117"/>
      <x:c r="B209" s="117"/>
      <x:c r="C209" s="117"/>
      <x:c r="D209" s="117"/>
      <x:c r="E209" s="117"/>
      <x:c r="F209" s="117"/>
      <x:c r="G209" s="117"/>
      <x:c r="H209" s="117"/>
      <x:c r="I209" s="117"/>
      <x:c r="J209" s="117"/>
      <x:c r="K209" s="117"/>
      <x:c r="L209" s="117"/>
      <x:c r="M209" s="117"/>
      <x:c r="N209" s="117"/>
      <x:c r="O209" s="117"/>
      <x:c r="P209" s="117"/>
      <x:c r="Q209" s="117"/>
      <x:c r="R209" s="117"/>
      <x:c r="S209" s="117"/>
      <x:c r="T209" s="117"/>
      <x:c r="U209" s="117"/>
      <x:c r="V209" s="117"/>
      <x:c r="W209" s="117"/>
      <x:c r="X209" s="117"/>
      <x:c r="Y209" s="117"/>
    </x:row>
    <x:row r="210">
      <x:c r="A210" s="117"/>
      <x:c r="B210" s="117"/>
      <x:c r="C210" s="117"/>
      <x:c r="D210" s="117"/>
      <x:c r="E210" s="117"/>
      <x:c r="F210" s="117"/>
      <x:c r="G210" s="117"/>
      <x:c r="H210" s="117"/>
      <x:c r="I210" s="117"/>
      <x:c r="J210" s="117"/>
      <x:c r="K210" s="117"/>
      <x:c r="L210" s="117"/>
      <x:c r="M210" s="117"/>
      <x:c r="N210" s="117"/>
      <x:c r="O210" s="117"/>
      <x:c r="P210" s="117"/>
      <x:c r="Q210" s="117"/>
      <x:c r="R210" s="117"/>
      <x:c r="S210" s="117"/>
      <x:c r="T210" s="117"/>
      <x:c r="U210" s="117"/>
      <x:c r="V210" s="117"/>
      <x:c r="W210" s="117"/>
      <x:c r="X210" s="117"/>
      <x:c r="Y210" s="117"/>
    </x:row>
    <x:row r="211">
      <x:c r="A211" s="117"/>
      <x:c r="B211" s="117"/>
      <x:c r="C211" s="117"/>
      <x:c r="D211" s="117"/>
      <x:c r="E211" s="117"/>
      <x:c r="F211" s="117"/>
      <x:c r="G211" s="117"/>
      <x:c r="H211" s="117"/>
      <x:c r="I211" s="117"/>
      <x:c r="J211" s="117"/>
      <x:c r="K211" s="117"/>
      <x:c r="L211" s="117"/>
      <x:c r="M211" s="117"/>
      <x:c r="N211" s="117"/>
      <x:c r="O211" s="117"/>
      <x:c r="P211" s="117"/>
      <x:c r="Q211" s="117"/>
      <x:c r="R211" s="117"/>
      <x:c r="S211" s="117"/>
      <x:c r="T211" s="117"/>
      <x:c r="U211" s="117"/>
      <x:c r="V211" s="117"/>
      <x:c r="W211" s="117"/>
      <x:c r="X211" s="117"/>
      <x:c r="Y211" s="117"/>
    </x:row>
    <x:row r="212">
      <x:c r="A212" s="117"/>
      <x:c r="B212" s="117"/>
      <x:c r="C212" s="117"/>
      <x:c r="D212" s="117"/>
      <x:c r="E212" s="117"/>
      <x:c r="F212" s="117"/>
      <x:c r="G212" s="117"/>
      <x:c r="H212" s="117"/>
      <x:c r="I212" s="117"/>
      <x:c r="J212" s="117"/>
      <x:c r="K212" s="117"/>
      <x:c r="L212" s="117"/>
      <x:c r="M212" s="117"/>
      <x:c r="N212" s="117"/>
      <x:c r="O212" s="117"/>
      <x:c r="P212" s="117"/>
      <x:c r="Q212" s="117"/>
      <x:c r="R212" s="117"/>
      <x:c r="S212" s="117"/>
      <x:c r="T212" s="117"/>
      <x:c r="U212" s="117"/>
      <x:c r="V212" s="117"/>
      <x:c r="W212" s="117"/>
      <x:c r="X212" s="117"/>
      <x:c r="Y212" s="117"/>
    </x:row>
    <x:row r="213">
      <x:c r="A213" s="117"/>
      <x:c r="B213" s="117"/>
      <x:c r="C213" s="117"/>
      <x:c r="D213" s="117"/>
      <x:c r="E213" s="117"/>
      <x:c r="F213" s="117"/>
      <x:c r="G213" s="117"/>
      <x:c r="H213" s="117"/>
      <x:c r="I213" s="117"/>
      <x:c r="J213" s="117"/>
      <x:c r="K213" s="117"/>
      <x:c r="L213" s="117"/>
      <x:c r="M213" s="117"/>
      <x:c r="N213" s="117"/>
      <x:c r="O213" s="117"/>
      <x:c r="P213" s="117"/>
      <x:c r="Q213" s="117"/>
      <x:c r="R213" s="117"/>
      <x:c r="S213" s="117"/>
      <x:c r="T213" s="117"/>
      <x:c r="U213" s="117"/>
      <x:c r="V213" s="117"/>
      <x:c r="W213" s="117"/>
      <x:c r="X213" s="117"/>
      <x:c r="Y213" s="117"/>
    </x:row>
    <x:row r="214">
      <x:c r="A214" s="117"/>
      <x:c r="B214" s="117"/>
      <x:c r="C214" s="117"/>
      <x:c r="D214" s="117"/>
      <x:c r="E214" s="117"/>
      <x:c r="F214" s="117"/>
      <x:c r="G214" s="117"/>
      <x:c r="H214" s="117"/>
      <x:c r="I214" s="117"/>
      <x:c r="J214" s="117"/>
      <x:c r="K214" s="117"/>
      <x:c r="L214" s="117"/>
      <x:c r="M214" s="117"/>
      <x:c r="N214" s="117"/>
      <x:c r="O214" s="117"/>
      <x:c r="P214" s="117"/>
      <x:c r="Q214" s="117"/>
      <x:c r="R214" s="117"/>
      <x:c r="S214" s="117"/>
      <x:c r="T214" s="117"/>
      <x:c r="U214" s="117"/>
      <x:c r="V214" s="117"/>
      <x:c r="W214" s="117"/>
      <x:c r="X214" s="117"/>
      <x:c r="Y214" s="117"/>
    </x:row>
    <x:row r="215">
      <x:c r="A215" s="117"/>
      <x:c r="B215" s="117"/>
      <x:c r="C215" s="117"/>
      <x:c r="D215" s="117"/>
      <x:c r="E215" s="117"/>
      <x:c r="F215" s="117"/>
      <x:c r="G215" s="117"/>
      <x:c r="H215" s="117"/>
      <x:c r="I215" s="117"/>
      <x:c r="J215" s="117"/>
      <x:c r="K215" s="117"/>
      <x:c r="L215" s="117"/>
      <x:c r="M215" s="117"/>
      <x:c r="N215" s="117"/>
      <x:c r="O215" s="117"/>
      <x:c r="P215" s="117"/>
      <x:c r="Q215" s="117"/>
      <x:c r="R215" s="117"/>
      <x:c r="S215" s="117"/>
      <x:c r="T215" s="117"/>
      <x:c r="U215" s="117"/>
      <x:c r="V215" s="117"/>
      <x:c r="W215" s="117"/>
      <x:c r="X215" s="117"/>
      <x:c r="Y215" s="117"/>
    </x:row>
    <x:row r="216">
      <x:c r="A216" s="117"/>
      <x:c r="B216" s="117"/>
      <x:c r="C216" s="117"/>
      <x:c r="D216" s="117"/>
      <x:c r="E216" s="117"/>
      <x:c r="F216" s="117"/>
      <x:c r="G216" s="117"/>
      <x:c r="H216" s="117"/>
      <x:c r="I216" s="117"/>
      <x:c r="J216" s="117"/>
      <x:c r="K216" s="117"/>
      <x:c r="L216" s="117"/>
      <x:c r="M216" s="117"/>
      <x:c r="N216" s="117"/>
      <x:c r="O216" s="117"/>
      <x:c r="P216" s="117"/>
      <x:c r="Q216" s="117"/>
      <x:c r="R216" s="117"/>
      <x:c r="S216" s="117"/>
      <x:c r="T216" s="117"/>
      <x:c r="U216" s="117"/>
      <x:c r="V216" s="117"/>
      <x:c r="W216" s="117"/>
      <x:c r="X216" s="117"/>
      <x:c r="Y216" s="117"/>
    </x:row>
    <x:row r="217">
      <x:c r="A217" s="117"/>
      <x:c r="B217" s="117"/>
      <x:c r="C217" s="117"/>
      <x:c r="D217" s="117"/>
      <x:c r="E217" s="117"/>
      <x:c r="F217" s="117"/>
      <x:c r="G217" s="117"/>
      <x:c r="H217" s="117"/>
      <x:c r="I217" s="117"/>
      <x:c r="J217" s="117"/>
      <x:c r="K217" s="117"/>
      <x:c r="L217" s="117"/>
      <x:c r="M217" s="117"/>
      <x:c r="N217" s="117"/>
      <x:c r="O217" s="117"/>
      <x:c r="P217" s="117"/>
      <x:c r="Q217" s="117"/>
      <x:c r="R217" s="117"/>
      <x:c r="S217" s="117"/>
      <x:c r="T217" s="117"/>
      <x:c r="U217" s="117"/>
      <x:c r="V217" s="117"/>
      <x:c r="W217" s="117"/>
      <x:c r="X217" s="117"/>
      <x:c r="Y217" s="117"/>
    </x:row>
    <x:row r="218">
      <x:c r="A218" s="117"/>
      <x:c r="B218" s="117"/>
      <x:c r="C218" s="117"/>
      <x:c r="D218" s="117"/>
      <x:c r="E218" s="117"/>
      <x:c r="F218" s="117"/>
      <x:c r="G218" s="117"/>
      <x:c r="H218" s="117"/>
      <x:c r="I218" s="117"/>
      <x:c r="J218" s="117"/>
      <x:c r="K218" s="117"/>
      <x:c r="L218" s="117"/>
      <x:c r="M218" s="117"/>
      <x:c r="N218" s="117"/>
      <x:c r="O218" s="117"/>
      <x:c r="P218" s="117"/>
      <x:c r="Q218" s="117"/>
      <x:c r="R218" s="117"/>
      <x:c r="S218" s="117"/>
      <x:c r="T218" s="117"/>
      <x:c r="U218" s="117"/>
      <x:c r="V218" s="117"/>
      <x:c r="W218" s="117"/>
      <x:c r="X218" s="117"/>
      <x:c r="Y218" s="117"/>
    </x:row>
    <x:row r="219">
      <x:c r="A219" s="117"/>
      <x:c r="B219" s="117"/>
      <x:c r="C219" s="117"/>
      <x:c r="D219" s="117"/>
      <x:c r="E219" s="117"/>
      <x:c r="F219" s="117"/>
      <x:c r="G219" s="117"/>
      <x:c r="H219" s="117"/>
      <x:c r="I219" s="117"/>
      <x:c r="J219" s="117"/>
      <x:c r="K219" s="117"/>
      <x:c r="L219" s="117"/>
      <x:c r="M219" s="117"/>
      <x:c r="N219" s="117"/>
      <x:c r="O219" s="117"/>
      <x:c r="P219" s="117"/>
      <x:c r="Q219" s="117"/>
      <x:c r="R219" s="117"/>
      <x:c r="S219" s="117"/>
      <x:c r="T219" s="117"/>
      <x:c r="U219" s="117"/>
      <x:c r="V219" s="117"/>
      <x:c r="W219" s="117"/>
      <x:c r="X219" s="117"/>
      <x:c r="Y219" s="117"/>
    </x:row>
    <x:row r="220">
      <x:c r="A220" s="117"/>
      <x:c r="B220" s="117"/>
      <x:c r="C220" s="117"/>
      <x:c r="D220" s="117"/>
      <x:c r="E220" s="117"/>
      <x:c r="F220" s="117"/>
      <x:c r="G220" s="117"/>
      <x:c r="H220" s="117"/>
      <x:c r="I220" s="117"/>
      <x:c r="J220" s="117"/>
      <x:c r="K220" s="117"/>
      <x:c r="L220" s="117"/>
      <x:c r="M220" s="117"/>
      <x:c r="N220" s="117"/>
      <x:c r="O220" s="117"/>
      <x:c r="P220" s="117"/>
      <x:c r="Q220" s="117"/>
      <x:c r="R220" s="117"/>
      <x:c r="S220" s="117"/>
      <x:c r="T220" s="117"/>
      <x:c r="U220" s="117"/>
      <x:c r="V220" s="117"/>
      <x:c r="W220" s="117"/>
      <x:c r="X220" s="117"/>
      <x:c r="Y220" s="117"/>
    </x:row>
    <x:row r="221">
      <x:c r="A221" s="117"/>
      <x:c r="B221" s="117"/>
      <x:c r="C221" s="117"/>
      <x:c r="D221" s="117"/>
      <x:c r="E221" s="117"/>
      <x:c r="F221" s="117"/>
      <x:c r="G221" s="117"/>
      <x:c r="H221" s="117"/>
      <x:c r="I221" s="117"/>
      <x:c r="J221" s="117"/>
      <x:c r="K221" s="117"/>
      <x:c r="L221" s="117"/>
      <x:c r="M221" s="117"/>
      <x:c r="N221" s="117"/>
      <x:c r="O221" s="117"/>
      <x:c r="P221" s="117"/>
      <x:c r="Q221" s="117"/>
      <x:c r="R221" s="117"/>
      <x:c r="S221" s="117"/>
      <x:c r="T221" s="117"/>
      <x:c r="U221" s="117"/>
      <x:c r="V221" s="117"/>
      <x:c r="W221" s="117"/>
      <x:c r="X221" s="117"/>
      <x:c r="Y221" s="117"/>
    </x:row>
    <x:row r="222">
      <x:c r="A222" s="117"/>
      <x:c r="B222" s="117"/>
      <x:c r="C222" s="117"/>
      <x:c r="D222" s="117"/>
      <x:c r="E222" s="117"/>
      <x:c r="F222" s="117"/>
      <x:c r="G222" s="117"/>
      <x:c r="H222" s="117"/>
      <x:c r="I222" s="117"/>
      <x:c r="J222" s="117"/>
      <x:c r="K222" s="117"/>
      <x:c r="L222" s="117"/>
      <x:c r="M222" s="117"/>
      <x:c r="N222" s="117"/>
      <x:c r="O222" s="117"/>
      <x:c r="P222" s="117"/>
      <x:c r="Q222" s="117"/>
      <x:c r="R222" s="117"/>
      <x:c r="S222" s="117"/>
      <x:c r="T222" s="117"/>
      <x:c r="U222" s="117"/>
      <x:c r="V222" s="117"/>
      <x:c r="W222" s="117"/>
      <x:c r="X222" s="117"/>
      <x:c r="Y222" s="117"/>
    </x:row>
    <x:row r="223">
      <x:c r="A223" s="117"/>
      <x:c r="B223" s="117"/>
      <x:c r="C223" s="117"/>
      <x:c r="D223" s="117"/>
      <x:c r="E223" s="117"/>
      <x:c r="F223" s="117"/>
      <x:c r="G223" s="117"/>
      <x:c r="H223" s="117"/>
      <x:c r="I223" s="117"/>
      <x:c r="J223" s="117"/>
      <x:c r="K223" s="117"/>
      <x:c r="L223" s="117"/>
      <x:c r="M223" s="117"/>
      <x:c r="N223" s="117"/>
      <x:c r="O223" s="117"/>
      <x:c r="P223" s="117"/>
      <x:c r="Q223" s="117"/>
      <x:c r="R223" s="117"/>
      <x:c r="S223" s="117"/>
      <x:c r="T223" s="117"/>
      <x:c r="U223" s="117"/>
      <x:c r="V223" s="117"/>
      <x:c r="W223" s="117"/>
      <x:c r="X223" s="117"/>
      <x:c r="Y223" s="117"/>
    </x:row>
    <x:row r="224">
      <x:c r="A224" s="117"/>
      <x:c r="B224" s="117"/>
      <x:c r="C224" s="117"/>
      <x:c r="D224" s="117"/>
      <x:c r="E224" s="117"/>
      <x:c r="F224" s="117"/>
      <x:c r="G224" s="117"/>
      <x:c r="H224" s="117"/>
      <x:c r="I224" s="117"/>
      <x:c r="J224" s="117"/>
      <x:c r="K224" s="117"/>
      <x:c r="L224" s="117"/>
      <x:c r="M224" s="117"/>
      <x:c r="N224" s="117"/>
      <x:c r="O224" s="117"/>
      <x:c r="P224" s="117"/>
      <x:c r="Q224" s="117"/>
      <x:c r="R224" s="117"/>
      <x:c r="S224" s="117"/>
      <x:c r="T224" s="117"/>
      <x:c r="U224" s="117"/>
      <x:c r="V224" s="117"/>
      <x:c r="W224" s="117"/>
      <x:c r="X224" s="117"/>
      <x:c r="Y224" s="117"/>
    </x:row>
    <x:row r="225">
      <x:c r="A225" s="117"/>
      <x:c r="B225" s="117"/>
      <x:c r="C225" s="117"/>
      <x:c r="D225" s="117"/>
      <x:c r="E225" s="117"/>
      <x:c r="F225" s="117"/>
      <x:c r="G225" s="117"/>
      <x:c r="H225" s="117"/>
      <x:c r="I225" s="117"/>
      <x:c r="J225" s="117"/>
      <x:c r="K225" s="117"/>
      <x:c r="L225" s="117"/>
      <x:c r="M225" s="117"/>
      <x:c r="N225" s="117"/>
      <x:c r="O225" s="117"/>
      <x:c r="P225" s="117"/>
      <x:c r="Q225" s="117"/>
      <x:c r="R225" s="117"/>
      <x:c r="S225" s="117"/>
      <x:c r="T225" s="117"/>
      <x:c r="U225" s="117"/>
      <x:c r="V225" s="117"/>
      <x:c r="W225" s="117"/>
      <x:c r="X225" s="117"/>
      <x:c r="Y225" s="117"/>
    </x:row>
    <x:row r="226">
      <x:c r="A226" s="117"/>
      <x:c r="B226" s="117"/>
      <x:c r="C226" s="117"/>
      <x:c r="D226" s="117"/>
      <x:c r="E226" s="117"/>
      <x:c r="F226" s="117"/>
      <x:c r="G226" s="117"/>
      <x:c r="H226" s="117"/>
      <x:c r="I226" s="117"/>
      <x:c r="J226" s="117"/>
      <x:c r="K226" s="117"/>
      <x:c r="L226" s="117"/>
      <x:c r="M226" s="117"/>
      <x:c r="N226" s="117"/>
      <x:c r="O226" s="117"/>
      <x:c r="P226" s="117"/>
      <x:c r="Q226" s="117"/>
      <x:c r="R226" s="117"/>
      <x:c r="S226" s="117"/>
      <x:c r="T226" s="117"/>
      <x:c r="U226" s="117"/>
      <x:c r="V226" s="117"/>
      <x:c r="W226" s="117"/>
      <x:c r="X226" s="117"/>
      <x:c r="Y226" s="117"/>
    </x:row>
    <x:row r="227">
      <x:c r="A227" s="117"/>
      <x:c r="B227" s="117"/>
      <x:c r="C227" s="117"/>
      <x:c r="D227" s="117"/>
      <x:c r="E227" s="117"/>
      <x:c r="F227" s="117"/>
      <x:c r="G227" s="117"/>
      <x:c r="H227" s="117"/>
      <x:c r="I227" s="117"/>
      <x:c r="J227" s="117"/>
      <x:c r="K227" s="117"/>
      <x:c r="L227" s="117"/>
      <x:c r="M227" s="117"/>
      <x:c r="N227" s="117"/>
      <x:c r="O227" s="117"/>
      <x:c r="P227" s="117"/>
      <x:c r="Q227" s="117"/>
      <x:c r="R227" s="117"/>
      <x:c r="S227" s="117"/>
      <x:c r="T227" s="117"/>
      <x:c r="U227" s="117"/>
      <x:c r="V227" s="117"/>
      <x:c r="W227" s="117"/>
      <x:c r="X227" s="117"/>
      <x:c r="Y227" s="117"/>
    </x:row>
    <x:row r="228">
      <x:c r="A228" s="117"/>
      <x:c r="B228" s="117"/>
      <x:c r="C228" s="117"/>
      <x:c r="D228" s="117"/>
      <x:c r="E228" s="117"/>
      <x:c r="F228" s="117"/>
      <x:c r="G228" s="117"/>
      <x:c r="H228" s="117"/>
      <x:c r="I228" s="117"/>
      <x:c r="J228" s="117"/>
      <x:c r="K228" s="117"/>
      <x:c r="L228" s="117"/>
      <x:c r="M228" s="117"/>
      <x:c r="N228" s="117"/>
      <x:c r="O228" s="117"/>
      <x:c r="P228" s="117"/>
      <x:c r="Q228" s="117"/>
      <x:c r="R228" s="117"/>
      <x:c r="S228" s="117"/>
      <x:c r="T228" s="117"/>
      <x:c r="U228" s="117"/>
      <x:c r="V228" s="117"/>
      <x:c r="W228" s="117"/>
      <x:c r="X228" s="117"/>
      <x:c r="Y228" s="117"/>
    </x:row>
    <x:row r="229">
      <x:c r="A229" s="117"/>
      <x:c r="B229" s="117"/>
      <x:c r="C229" s="117"/>
      <x:c r="D229" s="117"/>
      <x:c r="E229" s="117"/>
      <x:c r="F229" s="117"/>
      <x:c r="G229" s="117"/>
      <x:c r="H229" s="117"/>
      <x:c r="I229" s="117"/>
      <x:c r="J229" s="117"/>
      <x:c r="K229" s="117"/>
      <x:c r="L229" s="117"/>
      <x:c r="M229" s="117"/>
      <x:c r="N229" s="117"/>
      <x:c r="O229" s="117"/>
      <x:c r="P229" s="117"/>
      <x:c r="Q229" s="117"/>
      <x:c r="R229" s="117"/>
      <x:c r="S229" s="117"/>
      <x:c r="T229" s="117"/>
      <x:c r="U229" s="117"/>
      <x:c r="V229" s="117"/>
      <x:c r="W229" s="117"/>
      <x:c r="X229" s="117"/>
      <x:c r="Y229" s="117"/>
    </x:row>
    <x:row r="230">
      <x:c r="A230" s="117"/>
      <x:c r="B230" s="117"/>
      <x:c r="C230" s="117"/>
      <x:c r="D230" s="117"/>
      <x:c r="E230" s="117"/>
      <x:c r="F230" s="117"/>
      <x:c r="G230" s="117"/>
      <x:c r="H230" s="117"/>
      <x:c r="I230" s="117"/>
      <x:c r="J230" s="117"/>
      <x:c r="K230" s="117"/>
      <x:c r="L230" s="117"/>
      <x:c r="M230" s="117"/>
      <x:c r="N230" s="117"/>
      <x:c r="O230" s="117"/>
      <x:c r="P230" s="117"/>
      <x:c r="Q230" s="117"/>
      <x:c r="R230" s="117"/>
      <x:c r="S230" s="117"/>
      <x:c r="T230" s="117"/>
      <x:c r="U230" s="117"/>
      <x:c r="V230" s="117"/>
      <x:c r="W230" s="117"/>
      <x:c r="X230" s="117"/>
      <x:c r="Y230" s="117"/>
    </x:row>
    <x:row r="231">
      <x:c r="A231" s="117"/>
      <x:c r="B231" s="117"/>
      <x:c r="C231" s="117"/>
      <x:c r="D231" s="117"/>
      <x:c r="E231" s="117"/>
      <x:c r="F231" s="117"/>
      <x:c r="G231" s="117"/>
      <x:c r="H231" s="117"/>
      <x:c r="I231" s="117"/>
      <x:c r="J231" s="117"/>
      <x:c r="K231" s="117"/>
      <x:c r="L231" s="117"/>
      <x:c r="M231" s="117"/>
      <x:c r="N231" s="117"/>
      <x:c r="O231" s="117"/>
      <x:c r="P231" s="117"/>
      <x:c r="Q231" s="117"/>
      <x:c r="R231" s="117"/>
      <x:c r="S231" s="117"/>
      <x:c r="T231" s="117"/>
      <x:c r="U231" s="117"/>
      <x:c r="V231" s="117"/>
      <x:c r="W231" s="117"/>
      <x:c r="X231" s="117"/>
      <x:c r="Y231" s="117"/>
    </x:row>
    <x:row r="232">
      <x:c r="A232" s="117"/>
      <x:c r="B232" s="117"/>
      <x:c r="C232" s="117"/>
      <x:c r="D232" s="117"/>
      <x:c r="E232" s="117"/>
      <x:c r="F232" s="117"/>
      <x:c r="G232" s="117"/>
      <x:c r="H232" s="117"/>
      <x:c r="I232" s="117"/>
      <x:c r="J232" s="117"/>
      <x:c r="K232" s="117"/>
      <x:c r="L232" s="117"/>
      <x:c r="M232" s="117"/>
      <x:c r="N232" s="117"/>
      <x:c r="O232" s="117"/>
      <x:c r="P232" s="117"/>
      <x:c r="Q232" s="117"/>
      <x:c r="R232" s="117"/>
      <x:c r="S232" s="117"/>
      <x:c r="T232" s="117"/>
      <x:c r="U232" s="117"/>
      <x:c r="V232" s="117"/>
      <x:c r="W232" s="117"/>
      <x:c r="X232" s="117"/>
      <x:c r="Y232" s="117"/>
    </x:row>
    <x:row r="233">
      <x:c r="A233" s="117"/>
      <x:c r="B233" s="117"/>
      <x:c r="C233" s="117"/>
      <x:c r="D233" s="117"/>
      <x:c r="E233" s="117"/>
      <x:c r="F233" s="117"/>
      <x:c r="G233" s="117"/>
      <x:c r="H233" s="117"/>
      <x:c r="I233" s="117"/>
      <x:c r="J233" s="117"/>
      <x:c r="K233" s="117"/>
      <x:c r="L233" s="117"/>
      <x:c r="M233" s="117"/>
      <x:c r="N233" s="117"/>
      <x:c r="O233" s="117"/>
      <x:c r="P233" s="117"/>
      <x:c r="Q233" s="117"/>
      <x:c r="R233" s="117"/>
      <x:c r="S233" s="117"/>
      <x:c r="T233" s="117"/>
      <x:c r="U233" s="117"/>
      <x:c r="V233" s="117"/>
      <x:c r="W233" s="117"/>
      <x:c r="X233" s="117"/>
      <x:c r="Y233" s="117"/>
    </x:row>
    <x:row r="234">
      <x:c r="A234" s="117"/>
      <x:c r="B234" s="117"/>
      <x:c r="C234" s="117"/>
      <x:c r="D234" s="117"/>
      <x:c r="E234" s="117"/>
      <x:c r="F234" s="117"/>
      <x:c r="G234" s="117"/>
      <x:c r="H234" s="117"/>
      <x:c r="I234" s="117"/>
      <x:c r="J234" s="117"/>
      <x:c r="K234" s="117"/>
      <x:c r="L234" s="117"/>
      <x:c r="M234" s="117"/>
      <x:c r="N234" s="117"/>
      <x:c r="O234" s="117"/>
      <x:c r="P234" s="117"/>
      <x:c r="Q234" s="117"/>
      <x:c r="R234" s="117"/>
      <x:c r="S234" s="117"/>
      <x:c r="T234" s="117"/>
      <x:c r="U234" s="117"/>
      <x:c r="V234" s="117"/>
      <x:c r="W234" s="117"/>
      <x:c r="X234" s="117"/>
      <x:c r="Y234" s="117"/>
    </x:row>
    <x:row r="235">
      <x:c r="A235" s="117"/>
      <x:c r="B235" s="117"/>
      <x:c r="C235" s="117"/>
      <x:c r="D235" s="117"/>
      <x:c r="E235" s="117"/>
      <x:c r="F235" s="117"/>
      <x:c r="G235" s="117"/>
      <x:c r="H235" s="117"/>
      <x:c r="I235" s="117"/>
      <x:c r="J235" s="117"/>
      <x:c r="K235" s="117"/>
      <x:c r="L235" s="117"/>
      <x:c r="M235" s="117"/>
      <x:c r="N235" s="117"/>
      <x:c r="O235" s="117"/>
      <x:c r="P235" s="117"/>
      <x:c r="Q235" s="117"/>
      <x:c r="R235" s="117"/>
      <x:c r="S235" s="117"/>
      <x:c r="T235" s="117"/>
      <x:c r="U235" s="117"/>
      <x:c r="V235" s="117"/>
      <x:c r="W235" s="117"/>
      <x:c r="X235" s="117"/>
      <x:c r="Y235" s="117"/>
    </x:row>
    <x:row r="236">
      <x:c r="A236" s="117"/>
      <x:c r="B236" s="117"/>
      <x:c r="C236" s="117"/>
      <x:c r="D236" s="117"/>
      <x:c r="E236" s="117"/>
      <x:c r="F236" s="117"/>
      <x:c r="G236" s="117"/>
      <x:c r="H236" s="117"/>
      <x:c r="I236" s="117"/>
      <x:c r="J236" s="117"/>
      <x:c r="K236" s="117"/>
      <x:c r="L236" s="117"/>
      <x:c r="M236" s="117"/>
      <x:c r="N236" s="117"/>
      <x:c r="O236" s="117"/>
      <x:c r="P236" s="117"/>
      <x:c r="Q236" s="117"/>
      <x:c r="R236" s="117"/>
      <x:c r="S236" s="117"/>
      <x:c r="T236" s="117"/>
      <x:c r="U236" s="117"/>
      <x:c r="V236" s="117"/>
      <x:c r="W236" s="117"/>
      <x:c r="X236" s="117"/>
      <x:c r="Y236" s="117"/>
    </x:row>
    <x:row r="237">
      <x:c r="A237" s="117"/>
      <x:c r="B237" s="117"/>
      <x:c r="C237" s="117"/>
      <x:c r="D237" s="117"/>
      <x:c r="E237" s="117"/>
      <x:c r="F237" s="117"/>
      <x:c r="G237" s="117"/>
      <x:c r="H237" s="117"/>
      <x:c r="I237" s="117"/>
      <x:c r="J237" s="117"/>
      <x:c r="K237" s="117"/>
      <x:c r="L237" s="117"/>
      <x:c r="M237" s="117"/>
      <x:c r="N237" s="117"/>
      <x:c r="O237" s="117"/>
      <x:c r="P237" s="117"/>
      <x:c r="Q237" s="117"/>
      <x:c r="R237" s="117"/>
      <x:c r="S237" s="117"/>
      <x:c r="T237" s="117"/>
      <x:c r="U237" s="117"/>
      <x:c r="V237" s="117"/>
      <x:c r="W237" s="117"/>
      <x:c r="X237" s="117"/>
      <x:c r="Y237" s="117"/>
    </x:row>
    <x:row r="238">
      <x:c r="A238" s="117"/>
      <x:c r="B238" s="117"/>
      <x:c r="C238" s="117"/>
      <x:c r="D238" s="117"/>
      <x:c r="E238" s="117"/>
      <x:c r="F238" s="117"/>
      <x:c r="G238" s="117"/>
      <x:c r="H238" s="117"/>
      <x:c r="I238" s="117"/>
      <x:c r="J238" s="117"/>
      <x:c r="K238" s="117"/>
      <x:c r="L238" s="117"/>
      <x:c r="M238" s="117"/>
      <x:c r="N238" s="117"/>
      <x:c r="O238" s="117"/>
      <x:c r="P238" s="117"/>
      <x:c r="Q238" s="117"/>
      <x:c r="R238" s="117"/>
      <x:c r="S238" s="117"/>
      <x:c r="T238" s="117"/>
      <x:c r="U238" s="117"/>
      <x:c r="V238" s="117"/>
      <x:c r="W238" s="117"/>
      <x:c r="X238" s="117"/>
      <x:c r="Y238" s="117"/>
    </x:row>
    <x:row r="239">
      <x:c r="A239" s="117"/>
      <x:c r="B239" s="117"/>
      <x:c r="C239" s="117"/>
      <x:c r="D239" s="117"/>
      <x:c r="E239" s="117"/>
      <x:c r="F239" s="117"/>
      <x:c r="G239" s="117"/>
      <x:c r="H239" s="117"/>
      <x:c r="I239" s="117"/>
      <x:c r="J239" s="117"/>
      <x:c r="K239" s="117"/>
      <x:c r="L239" s="117"/>
      <x:c r="M239" s="117"/>
      <x:c r="N239" s="117"/>
      <x:c r="O239" s="117"/>
      <x:c r="P239" s="117"/>
      <x:c r="Q239" s="117"/>
      <x:c r="R239" s="117"/>
      <x:c r="S239" s="117"/>
      <x:c r="T239" s="117"/>
      <x:c r="U239" s="117"/>
      <x:c r="V239" s="117"/>
      <x:c r="W239" s="117"/>
      <x:c r="X239" s="117"/>
      <x:c r="Y239" s="117"/>
    </x:row>
    <x:row r="240">
      <x:c r="A240" s="117"/>
      <x:c r="B240" s="117"/>
      <x:c r="C240" s="117"/>
      <x:c r="D240" s="117"/>
      <x:c r="E240" s="117"/>
      <x:c r="F240" s="117"/>
      <x:c r="G240" s="117"/>
      <x:c r="H240" s="117"/>
      <x:c r="I240" s="117"/>
      <x:c r="J240" s="117"/>
      <x:c r="K240" s="117"/>
      <x:c r="L240" s="117"/>
      <x:c r="M240" s="117"/>
      <x:c r="N240" s="117"/>
      <x:c r="O240" s="117"/>
      <x:c r="P240" s="117"/>
      <x:c r="Q240" s="117"/>
      <x:c r="R240" s="117"/>
      <x:c r="S240" s="117"/>
      <x:c r="T240" s="117"/>
      <x:c r="U240" s="117"/>
      <x:c r="V240" s="117"/>
      <x:c r="W240" s="117"/>
      <x:c r="X240" s="117"/>
      <x:c r="Y240" s="117"/>
    </x:row>
    <x:row r="241">
      <x:c r="A241" s="117"/>
      <x:c r="B241" s="117"/>
      <x:c r="C241" s="117"/>
      <x:c r="D241" s="117"/>
      <x:c r="E241" s="117"/>
      <x:c r="F241" s="117"/>
      <x:c r="G241" s="117"/>
      <x:c r="H241" s="117"/>
      <x:c r="I241" s="117"/>
      <x:c r="J241" s="117"/>
      <x:c r="K241" s="117"/>
      <x:c r="L241" s="117"/>
      <x:c r="M241" s="117"/>
      <x:c r="N241" s="117"/>
      <x:c r="O241" s="117"/>
      <x:c r="P241" s="117"/>
      <x:c r="Q241" s="117"/>
      <x:c r="R241" s="117"/>
      <x:c r="S241" s="117"/>
      <x:c r="T241" s="117"/>
      <x:c r="U241" s="117"/>
      <x:c r="V241" s="117"/>
      <x:c r="W241" s="117"/>
      <x:c r="X241" s="117"/>
      <x:c r="Y241" s="117"/>
    </x:row>
    <x:row r="242">
      <x:c r="A242" s="117"/>
      <x:c r="B242" s="117"/>
      <x:c r="C242" s="117"/>
      <x:c r="D242" s="117"/>
      <x:c r="E242" s="117"/>
      <x:c r="F242" s="117"/>
      <x:c r="G242" s="117"/>
      <x:c r="H242" s="117"/>
      <x:c r="I242" s="117"/>
      <x:c r="J242" s="117"/>
      <x:c r="K242" s="117"/>
      <x:c r="L242" s="117"/>
      <x:c r="M242" s="117"/>
      <x:c r="N242" s="117"/>
      <x:c r="O242" s="117"/>
      <x:c r="P242" s="117"/>
      <x:c r="Q242" s="117"/>
      <x:c r="R242" s="117"/>
      <x:c r="S242" s="117"/>
      <x:c r="T242" s="117"/>
      <x:c r="U242" s="117"/>
      <x:c r="V242" s="117"/>
      <x:c r="W242" s="117"/>
      <x:c r="X242" s="117"/>
      <x:c r="Y242" s="117"/>
    </x:row>
    <x:row r="243">
      <x:c r="A243" s="117"/>
      <x:c r="B243" s="117"/>
      <x:c r="C243" s="117"/>
      <x:c r="D243" s="117"/>
      <x:c r="E243" s="117"/>
      <x:c r="F243" s="117"/>
      <x:c r="G243" s="117"/>
      <x:c r="H243" s="117"/>
      <x:c r="I243" s="117"/>
      <x:c r="J243" s="117"/>
      <x:c r="K243" s="117"/>
      <x:c r="L243" s="117"/>
      <x:c r="M243" s="117"/>
      <x:c r="N243" s="117"/>
      <x:c r="O243" s="117"/>
      <x:c r="P243" s="117"/>
      <x:c r="Q243" s="117"/>
      <x:c r="R243" s="117"/>
      <x:c r="S243" s="117"/>
      <x:c r="T243" s="117"/>
      <x:c r="U243" s="117"/>
      <x:c r="V243" s="117"/>
      <x:c r="W243" s="117"/>
      <x:c r="X243" s="117"/>
      <x:c r="Y243" s="117"/>
    </x:row>
    <x:row r="244">
      <x:c r="A244" s="117"/>
      <x:c r="B244" s="117"/>
      <x:c r="C244" s="117"/>
      <x:c r="D244" s="117"/>
      <x:c r="E244" s="117"/>
      <x:c r="F244" s="117"/>
      <x:c r="G244" s="117"/>
      <x:c r="H244" s="117"/>
      <x:c r="I244" s="117"/>
      <x:c r="J244" s="117"/>
      <x:c r="K244" s="117"/>
      <x:c r="L244" s="117"/>
      <x:c r="M244" s="117"/>
      <x:c r="N244" s="117"/>
      <x:c r="O244" s="117"/>
      <x:c r="P244" s="117"/>
      <x:c r="Q244" s="117"/>
      <x:c r="R244" s="117"/>
      <x:c r="S244" s="117"/>
      <x:c r="T244" s="117"/>
      <x:c r="U244" s="117"/>
      <x:c r="V244" s="117"/>
      <x:c r="W244" s="117"/>
      <x:c r="X244" s="117"/>
      <x:c r="Y244" s="117"/>
    </x:row>
    <x:row r="245">
      <x:c r="A245" s="117"/>
      <x:c r="B245" s="117"/>
      <x:c r="C245" s="117"/>
      <x:c r="D245" s="117"/>
      <x:c r="E245" s="117"/>
      <x:c r="F245" s="117"/>
      <x:c r="G245" s="117"/>
      <x:c r="H245" s="117"/>
      <x:c r="I245" s="117"/>
      <x:c r="J245" s="117"/>
      <x:c r="K245" s="117"/>
      <x:c r="L245" s="117"/>
      <x:c r="M245" s="117"/>
      <x:c r="N245" s="117"/>
      <x:c r="O245" s="117"/>
      <x:c r="P245" s="117"/>
      <x:c r="Q245" s="117"/>
      <x:c r="R245" s="117"/>
      <x:c r="S245" s="117"/>
      <x:c r="T245" s="117"/>
      <x:c r="U245" s="117"/>
      <x:c r="V245" s="117"/>
      <x:c r="W245" s="117"/>
      <x:c r="X245" s="117"/>
      <x:c r="Y245" s="117"/>
    </x:row>
    <x:row r="246">
      <x:c r="A246" s="117"/>
      <x:c r="B246" s="117"/>
      <x:c r="C246" s="117"/>
      <x:c r="D246" s="117"/>
      <x:c r="E246" s="117"/>
      <x:c r="F246" s="117"/>
      <x:c r="G246" s="117"/>
      <x:c r="H246" s="117"/>
      <x:c r="I246" s="117"/>
      <x:c r="J246" s="117"/>
      <x:c r="K246" s="117"/>
      <x:c r="L246" s="117"/>
      <x:c r="M246" s="117"/>
      <x:c r="N246" s="117"/>
      <x:c r="O246" s="117"/>
      <x:c r="P246" s="117"/>
      <x:c r="Q246" s="117"/>
      <x:c r="R246" s="117"/>
      <x:c r="S246" s="117"/>
      <x:c r="T246" s="117"/>
      <x:c r="U246" s="117"/>
      <x:c r="V246" s="117"/>
      <x:c r="W246" s="117"/>
      <x:c r="X246" s="117"/>
      <x:c r="Y246" s="117"/>
    </x:row>
    <x:row r="247">
      <x:c r="A247" s="117"/>
      <x:c r="B247" s="117"/>
      <x:c r="C247" s="117"/>
      <x:c r="D247" s="117"/>
      <x:c r="E247" s="117"/>
      <x:c r="F247" s="117"/>
      <x:c r="G247" s="117"/>
      <x:c r="H247" s="117"/>
      <x:c r="I247" s="117"/>
      <x:c r="J247" s="117"/>
      <x:c r="K247" s="117"/>
      <x:c r="L247" s="117"/>
      <x:c r="M247" s="117"/>
      <x:c r="N247" s="117"/>
      <x:c r="O247" s="117"/>
      <x:c r="P247" s="117"/>
      <x:c r="Q247" s="117"/>
      <x:c r="R247" s="117"/>
      <x:c r="S247" s="117"/>
      <x:c r="T247" s="117"/>
      <x:c r="U247" s="117"/>
      <x:c r="V247" s="117"/>
      <x:c r="W247" s="117"/>
      <x:c r="X247" s="117"/>
      <x:c r="Y247" s="117"/>
    </x:row>
    <x:row r="248">
      <x:c r="A248" s="117"/>
      <x:c r="B248" s="117"/>
      <x:c r="C248" s="117"/>
      <x:c r="D248" s="117"/>
      <x:c r="E248" s="117"/>
      <x:c r="F248" s="117"/>
      <x:c r="G248" s="117"/>
      <x:c r="H248" s="117"/>
      <x:c r="I248" s="117"/>
      <x:c r="J248" s="117"/>
      <x:c r="K248" s="117"/>
      <x:c r="L248" s="117"/>
      <x:c r="M248" s="117"/>
      <x:c r="N248" s="117"/>
      <x:c r="O248" s="117"/>
      <x:c r="P248" s="117"/>
      <x:c r="Q248" s="117"/>
      <x:c r="R248" s="117"/>
      <x:c r="S248" s="117"/>
      <x:c r="T248" s="117"/>
      <x:c r="U248" s="117"/>
      <x:c r="V248" s="117"/>
      <x:c r="W248" s="117"/>
      <x:c r="X248" s="117"/>
      <x:c r="Y248" s="117"/>
    </x:row>
    <x:row r="249">
      <x:c r="A249" s="117"/>
      <x:c r="B249" s="117"/>
      <x:c r="C249" s="117"/>
      <x:c r="D249" s="117"/>
      <x:c r="E249" s="117"/>
      <x:c r="F249" s="117"/>
      <x:c r="G249" s="117"/>
      <x:c r="H249" s="117"/>
      <x:c r="I249" s="117"/>
      <x:c r="J249" s="117"/>
      <x:c r="K249" s="117"/>
      <x:c r="L249" s="117"/>
      <x:c r="M249" s="117"/>
      <x:c r="N249" s="117"/>
      <x:c r="O249" s="117"/>
      <x:c r="P249" s="117"/>
      <x:c r="Q249" s="117"/>
      <x:c r="R249" s="117"/>
      <x:c r="S249" s="117"/>
      <x:c r="T249" s="117"/>
      <x:c r="U249" s="117"/>
      <x:c r="V249" s="117"/>
      <x:c r="W249" s="117"/>
      <x:c r="X249" s="117"/>
      <x:c r="Y249" s="117"/>
    </x:row>
    <x:row r="250">
      <x:c r="A250" s="117"/>
      <x:c r="B250" s="117"/>
      <x:c r="C250" s="117"/>
      <x:c r="D250" s="117"/>
      <x:c r="E250" s="117"/>
      <x:c r="F250" s="117"/>
      <x:c r="G250" s="117"/>
      <x:c r="H250" s="117"/>
      <x:c r="I250" s="117"/>
      <x:c r="J250" s="117"/>
      <x:c r="K250" s="117"/>
      <x:c r="L250" s="117"/>
      <x:c r="M250" s="117"/>
      <x:c r="N250" s="117"/>
      <x:c r="O250" s="117"/>
      <x:c r="P250" s="117"/>
      <x:c r="Q250" s="117"/>
      <x:c r="R250" s="117"/>
      <x:c r="S250" s="117"/>
      <x:c r="T250" s="117"/>
      <x:c r="U250" s="117"/>
      <x:c r="V250" s="117"/>
      <x:c r="W250" s="117"/>
      <x:c r="X250" s="117"/>
      <x:c r="Y250" s="117"/>
    </x:row>
  </x:sheetData>
  <x:conditionalFormatting sqref="I2:I100">
    <x:cfRule type="expression" dxfId="9" priority="1">
      <x:formula>I2="Critical"</x:formula>
    </x:cfRule>
    <x:cfRule type="expression" dxfId="10" priority="2">
      <x:formula>I2="High"</x:formula>
    </x:cfRule>
    <x:cfRule type="expression" dxfId="11" priority="3">
      <x:formula>I2="Medium"</x:formula>
    </x:cfRule>
    <x:cfRule type="expression" dxfId="12" priority="4">
      <x:formula>I2="Low"</x:formula>
    </x:cfRule>
  </x:conditionalFormatting>
  <x:pageMargins left="0.7" right="0.7" top="0.75" bottom="0.75" header="0.3" footer="0.3"/>
  <x:tableParts count="1">
    <x:tablePart xmlns:r="http://schemas.openxmlformats.org/officeDocument/2006/relationships" r:id="R7516ac99d9ee4ceb"/>
  </x:tableParts>
</x:worksheet>
</file>

<file path=xl/worksheets/sheet5.xml><?xml version="1.0" encoding="utf-8"?>
<x:worksheet xmlns:x="http://schemas.openxmlformats.org/spreadsheetml/2006/main">
  <x:sheetFormatPr defaultRowHeight="15"/>
  <x:cols>
    <x:col min="1" max="1" width="10" hidden="0" customWidth="1"/>
    <x:col min="2" max="2" width="12" hidden="0" customWidth="1"/>
    <x:col min="3" max="3" width="31" hidden="0" customWidth="1"/>
    <x:col min="4" max="4" width="52" hidden="0" customWidth="1"/>
    <x:col min="5" max="5" width="42" hidden="0" customWidth="1"/>
    <x:col min="6" max="6" width="50" hidden="0" customWidth="1"/>
    <x:col min="7" max="7" width="20" hidden="0" customWidth="1"/>
  </x:cols>
  <x:sheetData>
    <x:row r="1" ht="40" customHeight="1">
      <x:c r="A1" s="54" t="str">
        <x:v>Priority</x:v>
      </x:c>
      <x:c r="B1" s="54" t="str">
        <x:v>Asset ID</x:v>
      </x:c>
      <x:c r="C1" s="54" t="str">
        <x:v>Crown Jewel</x:v>
      </x:c>
      <x:c r="D1" s="54" t="str">
        <x:v>Why It Matters</x:v>
      </x:c>
      <x:c r="E1" s="54" t="str">
        <x:v>Primary Threat Concern</x:v>
      </x:c>
      <x:c r="F1" s="54" t="str">
        <x:v>Security Focus</x:v>
      </x:c>
      <x:c r="G1" s="54" t="str">
        <x:v>Target Recovery</x:v>
      </x:c>
      <x:c r="H1" s="117"/>
      <x:c r="I1" s="117"/>
      <x:c r="J1" s="117"/>
      <x:c r="K1" s="117"/>
      <x:c r="L1" s="117"/>
      <x:c r="M1" s="117"/>
      <x:c r="N1" s="117"/>
      <x:c r="O1" s="117"/>
      <x:c r="P1" s="117"/>
      <x:c r="Q1" s="117"/>
      <x:c r="R1" s="117"/>
      <x:c r="S1" s="117"/>
      <x:c r="T1" s="117"/>
      <x:c r="U1" s="117"/>
      <x:c r="V1" s="117"/>
      <x:c r="W1" s="117"/>
      <x:c r="X1" s="117"/>
      <x:c r="Y1" s="117"/>
    </x:row>
    <x:row r="2">
      <x:c r="A2" s="62" t="n">
        <x:v>1</x:v>
      </x:c>
      <x:c r="B2" s="62" t="str">
        <x:v>AST-002</x:v>
      </x:c>
      <x:c r="C2" s="62" t="str">
        <x:v>Microsoft Entra ID</x:v>
      </x:c>
      <x:c r="D2" s="62" t="str">
        <x:v>Controls authentication and privileged access to most cloud services.</x:v>
      </x:c>
      <x:c r="E2" s="62" t="str">
        <x:v>Account takeover, privilege escalation, identity configuration compromise</x:v>
      </x:c>
      <x:c r="F2" s="62" t="str">
        <x:v>MFA, conditional access, privileged access governance, logging</x:v>
      </x:c>
      <x:c r="G2" s="62" t="str">
        <x:v>RTO 2h / RPO 1h</x:v>
      </x:c>
      <x:c r="H2" s="117"/>
      <x:c r="I2" s="117"/>
      <x:c r="J2" s="117"/>
      <x:c r="K2" s="117"/>
      <x:c r="L2" s="117"/>
      <x:c r="M2" s="117"/>
      <x:c r="N2" s="117"/>
      <x:c r="O2" s="117"/>
      <x:c r="P2" s="117"/>
      <x:c r="Q2" s="117"/>
      <x:c r="R2" s="117"/>
      <x:c r="S2" s="117"/>
      <x:c r="T2" s="117"/>
      <x:c r="U2" s="117"/>
      <x:c r="V2" s="117"/>
      <x:c r="W2" s="117"/>
      <x:c r="X2" s="117"/>
      <x:c r="Y2" s="117"/>
    </x:row>
    <x:row r="3">
      <x:c r="A3" s="62" t="n">
        <x:v>2</x:v>
      </x:c>
      <x:c r="B3" s="62" t="str">
        <x:v>AST-001</x:v>
      </x:c>
      <x:c r="C3" s="62" t="str">
        <x:v>Microsoft 365 Tenant</x:v>
      </x:c>
      <x:c r="D3" s="62" t="str">
        <x:v>Central platform for email, collaboration and business files.</x:v>
      </x:c>
      <x:c r="E3" s="62" t="str">
        <x:v>Phishing, BEC, token theft, data leakage, tenant misconfiguration</x:v>
      </x:c>
      <x:c r="F3" s="62" t="str">
        <x:v>Identity hardening, email security, sharing controls, monitoring</x:v>
      </x:c>
      <x:c r="G3" s="62" t="str">
        <x:v>RTO 4h / RPO 4h</x:v>
      </x:c>
      <x:c r="H3" s="117"/>
      <x:c r="I3" s="117"/>
      <x:c r="J3" s="117"/>
      <x:c r="K3" s="117"/>
      <x:c r="L3" s="117"/>
      <x:c r="M3" s="117"/>
      <x:c r="N3" s="117"/>
      <x:c r="O3" s="117"/>
      <x:c r="P3" s="117"/>
      <x:c r="Q3" s="117"/>
      <x:c r="R3" s="117"/>
      <x:c r="S3" s="117"/>
      <x:c r="T3" s="117"/>
      <x:c r="U3" s="117"/>
      <x:c r="V3" s="117"/>
      <x:c r="W3" s="117"/>
      <x:c r="X3" s="117"/>
      <x:c r="Y3" s="117"/>
    </x:row>
    <x:row r="4">
      <x:c r="A4" s="62" t="n">
        <x:v>3</x:v>
      </x:c>
      <x:c r="B4" s="62" t="str">
        <x:v>AST-005</x:v>
      </x:c>
      <x:c r="C4" s="62" t="str">
        <x:v>Cloud Accounting System</x:v>
      </x:c>
      <x:c r="D4" s="62" t="str">
        <x:v>Supports billing, financial records and management reporting.</x:v>
      </x:c>
      <x:c r="E4" s="62" t="str">
        <x:v>Credential compromise, fraudulent changes, vendor outage</x:v>
      </x:c>
      <x:c r="F4" s="62" t="str">
        <x:v>MFA, segregation of duties, audit logs, vendor assurance</x:v>
      </x:c>
      <x:c r="G4" s="62" t="str">
        <x:v>RTO 4h / RPO 4h</x:v>
      </x:c>
      <x:c r="H4" s="117"/>
      <x:c r="I4" s="117"/>
      <x:c r="J4" s="117"/>
      <x:c r="K4" s="117"/>
      <x:c r="L4" s="117"/>
      <x:c r="M4" s="117"/>
      <x:c r="N4" s="117"/>
      <x:c r="O4" s="117"/>
      <x:c r="P4" s="117"/>
      <x:c r="Q4" s="117"/>
      <x:c r="R4" s="117"/>
      <x:c r="S4" s="117"/>
      <x:c r="T4" s="117"/>
      <x:c r="U4" s="117"/>
      <x:c r="V4" s="117"/>
      <x:c r="W4" s="117"/>
      <x:c r="X4" s="117"/>
      <x:c r="Y4" s="117"/>
    </x:row>
    <x:row r="5">
      <x:c r="A5" s="62" t="n">
        <x:v>4</x:v>
      </x:c>
      <x:c r="B5" s="62" t="str">
        <x:v>AST-030</x:v>
      </x:c>
      <x:c r="C5" s="62" t="str">
        <x:v>Financial Records Dataset</x:v>
      </x:c>
      <x:c r="D5" s="62" t="str">
        <x:v>High-integrity financial information is essential to operations and fraud prevention.</x:v>
      </x:c>
      <x:c r="E5" s="62" t="str">
        <x:v>Unauthorized modification, ransomware, destructive insider activity</x:v>
      </x:c>
      <x:c r="F5" s="62" t="str">
        <x:v>Integrity monitoring, least privilege, backup/export validation</x:v>
      </x:c>
      <x:c r="G5" s="62" t="str">
        <x:v>RTO 4h / RPO 4h</x:v>
      </x:c>
      <x:c r="H5" s="117"/>
      <x:c r="I5" s="117"/>
      <x:c r="J5" s="117"/>
      <x:c r="K5" s="117"/>
      <x:c r="L5" s="117"/>
      <x:c r="M5" s="117"/>
      <x:c r="N5" s="117"/>
      <x:c r="O5" s="117"/>
      <x:c r="P5" s="117"/>
      <x:c r="Q5" s="117"/>
      <x:c r="R5" s="117"/>
      <x:c r="S5" s="117"/>
      <x:c r="T5" s="117"/>
      <x:c r="U5" s="117"/>
      <x:c r="V5" s="117"/>
      <x:c r="W5" s="117"/>
      <x:c r="X5" s="117"/>
      <x:c r="Y5" s="117"/>
    </x:row>
    <x:row r="6">
      <x:c r="A6" s="62" t="n">
        <x:v>5</x:v>
      </x:c>
      <x:c r="B6" s="62" t="str">
        <x:v>AST-021</x:v>
      </x:c>
      <x:c r="C6" s="62" t="str">
        <x:v>Backup Repository</x:v>
      </x:c>
      <x:c r="D6" s="62" t="str">
        <x:v>Primary recovery path for ransomware and infrastructure failure.</x:v>
      </x:c>
      <x:c r="E6" s="62" t="str">
        <x:v>Backup deletion/encryption, compromised admin credentials</x:v>
      </x:c>
      <x:c r="F6" s="62" t="str">
        <x:v>Separate credentials, immutability, restore testing, network isolation</x:v>
      </x:c>
      <x:c r="G6" s="62" t="str">
        <x:v>RTO 4h / RPO 4h</x:v>
      </x:c>
      <x:c r="H6" s="117"/>
      <x:c r="I6" s="117"/>
      <x:c r="J6" s="117"/>
      <x:c r="K6" s="117"/>
      <x:c r="L6" s="117"/>
      <x:c r="M6" s="117"/>
      <x:c r="N6" s="117"/>
      <x:c r="O6" s="117"/>
      <x:c r="P6" s="117"/>
      <x:c r="Q6" s="117"/>
      <x:c r="R6" s="117"/>
      <x:c r="S6" s="117"/>
      <x:c r="T6" s="117"/>
      <x:c r="U6" s="117"/>
      <x:c r="V6" s="117"/>
      <x:c r="W6" s="117"/>
      <x:c r="X6" s="117"/>
      <x:c r="Y6" s="117"/>
    </x:row>
    <x:row r="7">
      <x:c r="A7" s="62" t="n">
        <x:v>6</x:v>
      </x:c>
      <x:c r="B7" s="62" t="str">
        <x:v>AST-031</x:v>
      </x:c>
      <x:c r="C7" s="62" t="str">
        <x:v>Administrative Credentials / Secrets</x:v>
      </x:c>
      <x:c r="D7" s="62" t="str">
        <x:v>Provides privileged access across the environment.</x:v>
      </x:c>
      <x:c r="E7" s="62" t="str">
        <x:v>Credential theft, reuse, shared passwords, untracked legacy secrets</x:v>
      </x:c>
      <x:c r="F7" s="62" t="str">
        <x:v>Vaulting, MFA, break-glass controls, rotation, audit logging</x:v>
      </x:c>
      <x:c r="G7" s="62" t="str">
        <x:v>RTO 2h / RPO 1h</x:v>
      </x:c>
      <x:c r="H7" s="117"/>
      <x:c r="I7" s="117"/>
      <x:c r="J7" s="117"/>
      <x:c r="K7" s="117"/>
      <x:c r="L7" s="117"/>
      <x:c r="M7" s="117"/>
      <x:c r="N7" s="117"/>
      <x:c r="O7" s="117"/>
      <x:c r="P7" s="117"/>
      <x:c r="Q7" s="117"/>
      <x:c r="R7" s="117"/>
      <x:c r="S7" s="117"/>
      <x:c r="T7" s="117"/>
      <x:c r="U7" s="117"/>
      <x:c r="V7" s="117"/>
      <x:c r="W7" s="117"/>
      <x:c r="X7" s="117"/>
      <x:c r="Y7" s="117"/>
    </x:row>
    <x:row r="8">
      <x:c r="A8" s="62" t="n">
        <x:v>7</x:v>
      </x:c>
      <x:c r="B8" s="62" t="str">
        <x:v>AST-013</x:v>
      </x:c>
      <x:c r="C8" s="62" t="str">
        <x:v>Kingston Internet Firewall</x:v>
      </x:c>
      <x:c r="D8" s="62" t="str">
        <x:v>Primary perimeter and VPN security control for headquarters.</x:v>
      </x:c>
      <x:c r="E8" s="62" t="str">
        <x:v>Exploitation, misconfiguration, credential compromise</x:v>
      </x:c>
      <x:c r="F8" s="62" t="str">
        <x:v>Firmware, MFA, configuration baseline, rule review, logging</x:v>
      </x:c>
      <x:c r="G8" s="62" t="str">
        <x:v>RTO 2h / RPO 1h</x:v>
      </x:c>
      <x:c r="H8" s="117"/>
      <x:c r="I8" s="117"/>
      <x:c r="J8" s="117"/>
      <x:c r="K8" s="117"/>
      <x:c r="L8" s="117"/>
      <x:c r="M8" s="117"/>
      <x:c r="N8" s="117"/>
      <x:c r="O8" s="117"/>
      <x:c r="P8" s="117"/>
      <x:c r="Q8" s="117"/>
      <x:c r="R8" s="117"/>
      <x:c r="S8" s="117"/>
      <x:c r="T8" s="117"/>
      <x:c r="U8" s="117"/>
      <x:c r="V8" s="117"/>
      <x:c r="W8" s="117"/>
      <x:c r="X8" s="117"/>
      <x:c r="Y8" s="117"/>
    </x:row>
    <x:row r="9">
      <x:c r="A9" s="62" t="n">
        <x:v>8</x:v>
      </x:c>
      <x:c r="B9" s="62" t="str">
        <x:v>AST-028</x:v>
      </x:c>
      <x:c r="C9" s="62" t="str">
        <x:v>Customer Master Dataset</x:v>
      </x:c>
      <x:c r="D9" s="62" t="str">
        <x:v>Supports customer relationships, sales and service delivery.</x:v>
      </x:c>
      <x:c r="E9" s="62" t="str">
        <x:v>Data theft, unauthorized export, oversharing</x:v>
      </x:c>
      <x:c r="F9" s="62" t="str">
        <x:v>Access control, DLP, export governance, retention</x:v>
      </x:c>
      <x:c r="G9" s="62" t="str">
        <x:v>RTO 8h / RPO 8h</x:v>
      </x:c>
      <x:c r="H9" s="117"/>
      <x:c r="I9" s="117"/>
      <x:c r="J9" s="117"/>
      <x:c r="K9" s="117"/>
      <x:c r="L9" s="117"/>
      <x:c r="M9" s="117"/>
      <x:c r="N9" s="117"/>
      <x:c r="O9" s="117"/>
      <x:c r="P9" s="117"/>
      <x:c r="Q9" s="117"/>
      <x:c r="R9" s="117"/>
      <x:c r="S9" s="117"/>
      <x:c r="T9" s="117"/>
      <x:c r="U9" s="117"/>
      <x:c r="V9" s="117"/>
      <x:c r="W9" s="117"/>
      <x:c r="X9" s="117"/>
      <x:c r="Y9" s="117"/>
    </x:row>
    <x:row r="10">
      <x:c r="A10" s="117"/>
      <x:c r="B10" s="117"/>
      <x:c r="C10" s="117"/>
      <x:c r="D10" s="117"/>
      <x:c r="E10" s="117"/>
      <x:c r="F10" s="117"/>
      <x:c r="G10" s="117"/>
      <x:c r="H10" s="117"/>
      <x:c r="I10" s="117"/>
      <x:c r="J10" s="117"/>
      <x:c r="K10" s="117"/>
      <x:c r="L10" s="117"/>
      <x:c r="M10" s="117"/>
      <x:c r="N10" s="117"/>
      <x:c r="O10" s="117"/>
      <x:c r="P10" s="117"/>
      <x:c r="Q10" s="117"/>
      <x:c r="R10" s="117"/>
      <x:c r="S10" s="117"/>
      <x:c r="T10" s="117"/>
      <x:c r="U10" s="117"/>
      <x:c r="V10" s="117"/>
      <x:c r="W10" s="117"/>
      <x:c r="X10" s="117"/>
      <x:c r="Y10" s="117"/>
    </x:row>
    <x:row r="11">
      <x:c r="A11" s="117"/>
      <x:c r="B11" s="117"/>
      <x:c r="C11" s="117"/>
      <x:c r="D11" s="117"/>
      <x:c r="E11" s="117"/>
      <x:c r="F11" s="117"/>
      <x:c r="G11" s="117"/>
      <x:c r="H11" s="117"/>
      <x:c r="I11" s="117"/>
      <x:c r="J11" s="117"/>
      <x:c r="K11" s="117"/>
      <x:c r="L11" s="117"/>
      <x:c r="M11" s="117"/>
      <x:c r="N11" s="117"/>
      <x:c r="O11" s="117"/>
      <x:c r="P11" s="117"/>
      <x:c r="Q11" s="117"/>
      <x:c r="R11" s="117"/>
      <x:c r="S11" s="117"/>
      <x:c r="T11" s="117"/>
      <x:c r="U11" s="117"/>
      <x:c r="V11" s="117"/>
      <x:c r="W11" s="117"/>
      <x:c r="X11" s="117"/>
      <x:c r="Y11" s="117"/>
    </x:row>
    <x:row r="12">
      <x:c r="A12" s="117"/>
      <x:c r="B12" s="117"/>
      <x:c r="C12" s="117"/>
      <x:c r="D12" s="117"/>
      <x:c r="E12" s="117"/>
      <x:c r="F12" s="117"/>
      <x:c r="G12" s="117"/>
      <x:c r="H12" s="117"/>
      <x:c r="I12" s="117"/>
      <x:c r="J12" s="117"/>
      <x:c r="K12" s="117"/>
      <x:c r="L12" s="117"/>
      <x:c r="M12" s="117"/>
      <x:c r="N12" s="117"/>
      <x:c r="O12" s="117"/>
      <x:c r="P12" s="117"/>
      <x:c r="Q12" s="117"/>
      <x:c r="R12" s="117"/>
      <x:c r="S12" s="117"/>
      <x:c r="T12" s="117"/>
      <x:c r="U12" s="117"/>
      <x:c r="V12" s="117"/>
      <x:c r="W12" s="117"/>
      <x:c r="X12" s="117"/>
      <x:c r="Y12" s="117"/>
    </x:row>
    <x:row r="13">
      <x:c r="A13" s="117"/>
      <x:c r="B13" s="117"/>
      <x:c r="C13" s="117"/>
      <x:c r="D13" s="117"/>
      <x:c r="E13" s="117"/>
      <x:c r="F13" s="117"/>
      <x:c r="G13" s="117"/>
      <x:c r="H13" s="117"/>
      <x:c r="I13" s="117"/>
      <x:c r="J13" s="117"/>
      <x:c r="K13" s="117"/>
      <x:c r="L13" s="117"/>
      <x:c r="M13" s="117"/>
      <x:c r="N13" s="117"/>
      <x:c r="O13" s="117"/>
      <x:c r="P13" s="117"/>
      <x:c r="Q13" s="117"/>
      <x:c r="R13" s="117"/>
      <x:c r="S13" s="117"/>
      <x:c r="T13" s="117"/>
      <x:c r="U13" s="117"/>
      <x:c r="V13" s="117"/>
      <x:c r="W13" s="117"/>
      <x:c r="X13" s="117"/>
      <x:c r="Y13" s="117"/>
    </x:row>
    <x:row r="14">
      <x:c r="A14" s="117"/>
      <x:c r="B14" s="117"/>
      <x:c r="C14" s="117"/>
      <x:c r="D14" s="117"/>
      <x:c r="E14" s="117"/>
      <x:c r="F14" s="117"/>
      <x:c r="G14" s="117"/>
      <x:c r="H14" s="117"/>
      <x:c r="I14" s="117"/>
      <x:c r="J14" s="117"/>
      <x:c r="K14" s="117"/>
      <x:c r="L14" s="117"/>
      <x:c r="M14" s="117"/>
      <x:c r="N14" s="117"/>
      <x:c r="O14" s="117"/>
      <x:c r="P14" s="117"/>
      <x:c r="Q14" s="117"/>
      <x:c r="R14" s="117"/>
      <x:c r="S14" s="117"/>
      <x:c r="T14" s="117"/>
      <x:c r="U14" s="117"/>
      <x:c r="V14" s="117"/>
      <x:c r="W14" s="117"/>
      <x:c r="X14" s="117"/>
      <x:c r="Y14" s="117"/>
    </x:row>
    <x:row r="15">
      <x:c r="A15" s="117"/>
      <x:c r="B15" s="117"/>
      <x:c r="C15" s="117"/>
      <x:c r="D15" s="117"/>
      <x:c r="E15" s="117"/>
      <x:c r="F15" s="117"/>
      <x:c r="G15" s="117"/>
      <x:c r="H15" s="117"/>
      <x:c r="I15" s="117"/>
      <x:c r="J15" s="117"/>
      <x:c r="K15" s="117"/>
      <x:c r="L15" s="117"/>
      <x:c r="M15" s="117"/>
      <x:c r="N15" s="117"/>
      <x:c r="O15" s="117"/>
      <x:c r="P15" s="117"/>
      <x:c r="Q15" s="117"/>
      <x:c r="R15" s="117"/>
      <x:c r="S15" s="117"/>
      <x:c r="T15" s="117"/>
      <x:c r="U15" s="117"/>
      <x:c r="V15" s="117"/>
      <x:c r="W15" s="117"/>
      <x:c r="X15" s="117"/>
      <x:c r="Y15" s="117"/>
    </x:row>
    <x:row r="16">
      <x:c r="A16" s="117"/>
      <x:c r="B16" s="117"/>
      <x:c r="C16" s="117"/>
      <x:c r="D16" s="117"/>
      <x:c r="E16" s="117"/>
      <x:c r="F16" s="117"/>
      <x:c r="G16" s="117"/>
      <x:c r="H16" s="117"/>
      <x:c r="I16" s="117"/>
      <x:c r="J16" s="117"/>
      <x:c r="K16" s="117"/>
      <x:c r="L16" s="117"/>
      <x:c r="M16" s="117"/>
      <x:c r="N16" s="117"/>
      <x:c r="O16" s="117"/>
      <x:c r="P16" s="117"/>
      <x:c r="Q16" s="117"/>
      <x:c r="R16" s="117"/>
      <x:c r="S16" s="117"/>
      <x:c r="T16" s="117"/>
      <x:c r="U16" s="117"/>
      <x:c r="V16" s="117"/>
      <x:c r="W16" s="117"/>
      <x:c r="X16" s="117"/>
      <x:c r="Y16" s="117"/>
    </x:row>
    <x:row r="17">
      <x:c r="A17" s="117"/>
      <x:c r="B17" s="117"/>
      <x:c r="C17" s="117"/>
      <x:c r="D17" s="117"/>
      <x:c r="E17" s="117"/>
      <x:c r="F17" s="117"/>
      <x:c r="G17" s="117"/>
      <x:c r="H17" s="117"/>
      <x:c r="I17" s="117"/>
      <x:c r="J17" s="117"/>
      <x:c r="K17" s="117"/>
      <x:c r="L17" s="117"/>
      <x:c r="M17" s="117"/>
      <x:c r="N17" s="117"/>
      <x:c r="O17" s="117"/>
      <x:c r="P17" s="117"/>
      <x:c r="Q17" s="117"/>
      <x:c r="R17" s="117"/>
      <x:c r="S17" s="117"/>
      <x:c r="T17" s="117"/>
      <x:c r="U17" s="117"/>
      <x:c r="V17" s="117"/>
      <x:c r="W17" s="117"/>
      <x:c r="X17" s="117"/>
      <x:c r="Y17" s="117"/>
    </x:row>
    <x:row r="18">
      <x:c r="A18" s="117"/>
      <x:c r="B18" s="117"/>
      <x:c r="C18" s="117"/>
      <x:c r="D18" s="117"/>
      <x:c r="E18" s="117"/>
      <x:c r="F18" s="117"/>
      <x:c r="G18" s="117"/>
      <x:c r="H18" s="117"/>
      <x:c r="I18" s="117"/>
      <x:c r="J18" s="117"/>
      <x:c r="K18" s="117"/>
      <x:c r="L18" s="117"/>
      <x:c r="M18" s="117"/>
      <x:c r="N18" s="117"/>
      <x:c r="O18" s="117"/>
      <x:c r="P18" s="117"/>
      <x:c r="Q18" s="117"/>
      <x:c r="R18" s="117"/>
      <x:c r="S18" s="117"/>
      <x:c r="T18" s="117"/>
      <x:c r="U18" s="117"/>
      <x:c r="V18" s="117"/>
      <x:c r="W18" s="117"/>
      <x:c r="X18" s="117"/>
      <x:c r="Y18" s="117"/>
    </x:row>
    <x:row r="19">
      <x:c r="A19" s="117"/>
      <x:c r="B19" s="117"/>
      <x:c r="C19" s="117"/>
      <x:c r="D19" s="117"/>
      <x:c r="E19" s="117"/>
      <x:c r="F19" s="117"/>
      <x:c r="G19" s="117"/>
      <x:c r="H19" s="117"/>
      <x:c r="I19" s="117"/>
      <x:c r="J19" s="117"/>
      <x:c r="K19" s="117"/>
      <x:c r="L19" s="117"/>
      <x:c r="M19" s="117"/>
      <x:c r="N19" s="117"/>
      <x:c r="O19" s="117"/>
      <x:c r="P19" s="117"/>
      <x:c r="Q19" s="117"/>
      <x:c r="R19" s="117"/>
      <x:c r="S19" s="117"/>
      <x:c r="T19" s="117"/>
      <x:c r="U19" s="117"/>
      <x:c r="V19" s="117"/>
      <x:c r="W19" s="117"/>
      <x:c r="X19" s="117"/>
      <x:c r="Y19" s="117"/>
    </x:row>
    <x:row r="20">
      <x:c r="A20" s="117"/>
      <x:c r="B20" s="117"/>
      <x:c r="C20" s="117"/>
      <x:c r="D20" s="117"/>
      <x:c r="E20" s="117"/>
      <x:c r="F20" s="117"/>
      <x:c r="G20" s="117"/>
      <x:c r="H20" s="117"/>
      <x:c r="I20" s="117"/>
      <x:c r="J20" s="117"/>
      <x:c r="K20" s="117"/>
      <x:c r="L20" s="117"/>
      <x:c r="M20" s="117"/>
      <x:c r="N20" s="117"/>
      <x:c r="O20" s="117"/>
      <x:c r="P20" s="117"/>
      <x:c r="Q20" s="117"/>
      <x:c r="R20" s="117"/>
      <x:c r="S20" s="117"/>
      <x:c r="T20" s="117"/>
      <x:c r="U20" s="117"/>
      <x:c r="V20" s="117"/>
      <x:c r="W20" s="117"/>
      <x:c r="X20" s="117"/>
      <x:c r="Y20" s="117"/>
    </x:row>
    <x:row r="21">
      <x:c r="A21" s="117"/>
      <x:c r="B21" s="117"/>
      <x:c r="C21" s="117"/>
      <x:c r="D21" s="117"/>
      <x:c r="E21" s="117"/>
      <x:c r="F21" s="117"/>
      <x:c r="G21" s="117"/>
      <x:c r="H21" s="117"/>
      <x:c r="I21" s="117"/>
      <x:c r="J21" s="117"/>
      <x:c r="K21" s="117"/>
      <x:c r="L21" s="117"/>
      <x:c r="M21" s="117"/>
      <x:c r="N21" s="117"/>
      <x:c r="O21" s="117"/>
      <x:c r="P21" s="117"/>
      <x:c r="Q21" s="117"/>
      <x:c r="R21" s="117"/>
      <x:c r="S21" s="117"/>
      <x:c r="T21" s="117"/>
      <x:c r="U21" s="117"/>
      <x:c r="V21" s="117"/>
      <x:c r="W21" s="117"/>
      <x:c r="X21" s="117"/>
      <x:c r="Y21" s="117"/>
    </x:row>
    <x:row r="22">
      <x:c r="A22" s="117"/>
      <x:c r="B22" s="117"/>
      <x:c r="C22" s="117"/>
      <x:c r="D22" s="117"/>
      <x:c r="E22" s="117"/>
      <x:c r="F22" s="117"/>
      <x:c r="G22" s="117"/>
      <x:c r="H22" s="117"/>
      <x:c r="I22" s="117"/>
      <x:c r="J22" s="117"/>
      <x:c r="K22" s="117"/>
      <x:c r="L22" s="117"/>
      <x:c r="M22" s="117"/>
      <x:c r="N22" s="117"/>
      <x:c r="O22" s="117"/>
      <x:c r="P22" s="117"/>
      <x:c r="Q22" s="117"/>
      <x:c r="R22" s="117"/>
      <x:c r="S22" s="117"/>
      <x:c r="T22" s="117"/>
      <x:c r="U22" s="117"/>
      <x:c r="V22" s="117"/>
      <x:c r="W22" s="117"/>
      <x:c r="X22" s="117"/>
      <x:c r="Y22" s="117"/>
    </x:row>
    <x:row r="23">
      <x:c r="A23" s="117"/>
      <x:c r="B23" s="117"/>
      <x:c r="C23" s="117"/>
      <x:c r="D23" s="117"/>
      <x:c r="E23" s="117"/>
      <x:c r="F23" s="117"/>
      <x:c r="G23" s="117"/>
      <x:c r="H23" s="117"/>
      <x:c r="I23" s="117"/>
      <x:c r="J23" s="117"/>
      <x:c r="K23" s="117"/>
      <x:c r="L23" s="117"/>
      <x:c r="M23" s="117"/>
      <x:c r="N23" s="117"/>
      <x:c r="O23" s="117"/>
      <x:c r="P23" s="117"/>
      <x:c r="Q23" s="117"/>
      <x:c r="R23" s="117"/>
      <x:c r="S23" s="117"/>
      <x:c r="T23" s="117"/>
      <x:c r="U23" s="117"/>
      <x:c r="V23" s="117"/>
      <x:c r="W23" s="117"/>
      <x:c r="X23" s="117"/>
      <x:c r="Y23" s="117"/>
    </x:row>
    <x:row r="24">
      <x:c r="A24" s="117"/>
      <x:c r="B24" s="117"/>
      <x:c r="C24" s="117"/>
      <x:c r="D24" s="117"/>
      <x:c r="E24" s="117"/>
      <x:c r="F24" s="117"/>
      <x:c r="G24" s="117"/>
      <x:c r="H24" s="117"/>
      <x:c r="I24" s="117"/>
      <x:c r="J24" s="117"/>
      <x:c r="K24" s="117"/>
      <x:c r="L24" s="117"/>
      <x:c r="M24" s="117"/>
      <x:c r="N24" s="117"/>
      <x:c r="O24" s="117"/>
      <x:c r="P24" s="117"/>
      <x:c r="Q24" s="117"/>
      <x:c r="R24" s="117"/>
      <x:c r="S24" s="117"/>
      <x:c r="T24" s="117"/>
      <x:c r="U24" s="117"/>
      <x:c r="V24" s="117"/>
      <x:c r="W24" s="117"/>
      <x:c r="X24" s="117"/>
      <x:c r="Y24" s="117"/>
    </x:row>
    <x:row r="25">
      <x:c r="A25" s="117"/>
      <x:c r="B25" s="117"/>
      <x:c r="C25" s="117"/>
      <x:c r="D25" s="117"/>
      <x:c r="E25" s="117"/>
      <x:c r="F25" s="117"/>
      <x:c r="G25" s="117"/>
      <x:c r="H25" s="117"/>
      <x:c r="I25" s="117"/>
      <x:c r="J25" s="117"/>
      <x:c r="K25" s="117"/>
      <x:c r="L25" s="117"/>
      <x:c r="M25" s="117"/>
      <x:c r="N25" s="117"/>
      <x:c r="O25" s="117"/>
      <x:c r="P25" s="117"/>
      <x:c r="Q25" s="117"/>
      <x:c r="R25" s="117"/>
      <x:c r="S25" s="117"/>
      <x:c r="T25" s="117"/>
      <x:c r="U25" s="117"/>
      <x:c r="V25" s="117"/>
      <x:c r="W25" s="117"/>
      <x:c r="X25" s="117"/>
      <x:c r="Y25" s="117"/>
    </x:row>
    <x:row r="26">
      <x:c r="A26" s="117"/>
      <x:c r="B26" s="117"/>
      <x:c r="C26" s="117"/>
      <x:c r="D26" s="117"/>
      <x:c r="E26" s="117"/>
      <x:c r="F26" s="117"/>
      <x:c r="G26" s="117"/>
      <x:c r="H26" s="117"/>
      <x:c r="I26" s="117"/>
      <x:c r="J26" s="117"/>
      <x:c r="K26" s="117"/>
      <x:c r="L26" s="117"/>
      <x:c r="M26" s="117"/>
      <x:c r="N26" s="117"/>
      <x:c r="O26" s="117"/>
      <x:c r="P26" s="117"/>
      <x:c r="Q26" s="117"/>
      <x:c r="R26" s="117"/>
      <x:c r="S26" s="117"/>
      <x:c r="T26" s="117"/>
      <x:c r="U26" s="117"/>
      <x:c r="V26" s="117"/>
      <x:c r="W26" s="117"/>
      <x:c r="X26" s="117"/>
      <x:c r="Y26" s="117"/>
    </x:row>
    <x:row r="27">
      <x:c r="A27" s="117"/>
      <x:c r="B27" s="117"/>
      <x:c r="C27" s="117"/>
      <x:c r="D27" s="117"/>
      <x:c r="E27" s="117"/>
      <x:c r="F27" s="117"/>
      <x:c r="G27" s="117"/>
      <x:c r="H27" s="117"/>
      <x:c r="I27" s="117"/>
      <x:c r="J27" s="117"/>
      <x:c r="K27" s="117"/>
      <x:c r="L27" s="117"/>
      <x:c r="M27" s="117"/>
      <x:c r="N27" s="117"/>
      <x:c r="O27" s="117"/>
      <x:c r="P27" s="117"/>
      <x:c r="Q27" s="117"/>
      <x:c r="R27" s="117"/>
      <x:c r="S27" s="117"/>
      <x:c r="T27" s="117"/>
      <x:c r="U27" s="117"/>
      <x:c r="V27" s="117"/>
      <x:c r="W27" s="117"/>
      <x:c r="X27" s="117"/>
      <x:c r="Y27" s="117"/>
    </x:row>
    <x:row r="28">
      <x:c r="A28" s="117"/>
      <x:c r="B28" s="117"/>
      <x:c r="C28" s="117"/>
      <x:c r="D28" s="117"/>
      <x:c r="E28" s="117"/>
      <x:c r="F28" s="117"/>
      <x:c r="G28" s="117"/>
      <x:c r="H28" s="117"/>
      <x:c r="I28" s="117"/>
      <x:c r="J28" s="117"/>
      <x:c r="K28" s="117"/>
      <x:c r="L28" s="117"/>
      <x:c r="M28" s="117"/>
      <x:c r="N28" s="117"/>
      <x:c r="O28" s="117"/>
      <x:c r="P28" s="117"/>
      <x:c r="Q28" s="117"/>
      <x:c r="R28" s="117"/>
      <x:c r="S28" s="117"/>
      <x:c r="T28" s="117"/>
      <x:c r="U28" s="117"/>
      <x:c r="V28" s="117"/>
      <x:c r="W28" s="117"/>
      <x:c r="X28" s="117"/>
      <x:c r="Y28" s="117"/>
    </x:row>
    <x:row r="29">
      <x:c r="A29" s="117"/>
      <x:c r="B29" s="117"/>
      <x:c r="C29" s="117"/>
      <x:c r="D29" s="117"/>
      <x:c r="E29" s="117"/>
      <x:c r="F29" s="117"/>
      <x:c r="G29" s="117"/>
      <x:c r="H29" s="117"/>
      <x:c r="I29" s="117"/>
      <x:c r="J29" s="117"/>
      <x:c r="K29" s="117"/>
      <x:c r="L29" s="117"/>
      <x:c r="M29" s="117"/>
      <x:c r="N29" s="117"/>
      <x:c r="O29" s="117"/>
      <x:c r="P29" s="117"/>
      <x:c r="Q29" s="117"/>
      <x:c r="R29" s="117"/>
      <x:c r="S29" s="117"/>
      <x:c r="T29" s="117"/>
      <x:c r="U29" s="117"/>
      <x:c r="V29" s="117"/>
      <x:c r="W29" s="117"/>
      <x:c r="X29" s="117"/>
      <x:c r="Y29" s="117"/>
    </x:row>
    <x:row r="30">
      <x:c r="A30" s="117"/>
      <x:c r="B30" s="117"/>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row>
    <x:row r="31">
      <x:c r="A31" s="117"/>
      <x:c r="B31" s="117"/>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row>
    <x:row r="32">
      <x:c r="A32" s="117"/>
      <x:c r="B32" s="117"/>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row>
    <x:row r="33">
      <x:c r="A33" s="117"/>
      <x:c r="B33" s="117"/>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row>
    <x:row r="34">
      <x:c r="A34" s="117"/>
      <x:c r="B34" s="117"/>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row>
    <x:row r="35">
      <x:c r="A35" s="117"/>
      <x:c r="B35" s="117"/>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row>
    <x:row r="101">
      <x:c r="A101" s="117"/>
      <x:c r="B101" s="117"/>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row>
    <x:row r="102">
      <x:c r="A102" s="117"/>
      <x:c r="B102" s="117"/>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row>
    <x:row r="103">
      <x:c r="A103" s="117"/>
      <x:c r="B103" s="117"/>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row>
    <x:row r="104">
      <x:c r="A104" s="117"/>
      <x:c r="B104" s="117"/>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row>
    <x:row r="105">
      <x:c r="A105" s="117"/>
      <x:c r="B105" s="117"/>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row>
    <x:row r="106">
      <x:c r="A106" s="117"/>
      <x:c r="B106" s="117"/>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row>
    <x:row r="107">
      <x:c r="A107" s="117"/>
      <x:c r="B107" s="117"/>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row>
    <x:row r="201">
      <x:c r="A201" s="117"/>
      <x:c r="B201" s="117"/>
      <x:c r="C201" s="117"/>
      <x:c r="D201" s="117"/>
      <x:c r="E201" s="117"/>
      <x:c r="F201" s="117"/>
      <x:c r="G201" s="117"/>
      <x:c r="H201" s="117"/>
      <x:c r="I201" s="117"/>
      <x:c r="J201" s="117"/>
      <x:c r="K201" s="117"/>
      <x:c r="L201" s="117"/>
      <x:c r="M201" s="117"/>
      <x:c r="N201" s="117"/>
      <x:c r="O201" s="117"/>
      <x:c r="P201" s="117"/>
      <x:c r="Q201" s="117"/>
      <x:c r="R201" s="117"/>
      <x:c r="S201" s="117"/>
      <x:c r="T201" s="117"/>
      <x:c r="U201" s="117"/>
      <x:c r="V201" s="117"/>
      <x:c r="W201" s="117"/>
      <x:c r="X201" s="117"/>
      <x:c r="Y201" s="117"/>
    </x:row>
    <x:row r="202">
      <x:c r="A202" s="117"/>
      <x:c r="B202" s="117"/>
      <x:c r="C202" s="117"/>
      <x:c r="D202" s="117"/>
      <x:c r="E202" s="117"/>
      <x:c r="F202" s="117"/>
      <x:c r="G202" s="117"/>
      <x:c r="H202" s="117"/>
      <x:c r="I202" s="117"/>
      <x:c r="J202" s="117"/>
      <x:c r="K202" s="117"/>
      <x:c r="L202" s="117"/>
      <x:c r="M202" s="117"/>
      <x:c r="N202" s="117"/>
      <x:c r="O202" s="117"/>
      <x:c r="P202" s="117"/>
      <x:c r="Q202" s="117"/>
      <x:c r="R202" s="117"/>
      <x:c r="S202" s="117"/>
      <x:c r="T202" s="117"/>
      <x:c r="U202" s="117"/>
      <x:c r="V202" s="117"/>
      <x:c r="W202" s="117"/>
      <x:c r="X202" s="117"/>
      <x:c r="Y202" s="117"/>
    </x:row>
    <x:row r="203">
      <x:c r="A203" s="117"/>
      <x:c r="B203" s="117"/>
      <x:c r="C203" s="117"/>
      <x:c r="D203" s="117"/>
      <x:c r="E203" s="117"/>
      <x:c r="F203" s="117"/>
      <x:c r="G203" s="117"/>
      <x:c r="H203" s="117"/>
      <x:c r="I203" s="117"/>
      <x:c r="J203" s="117"/>
      <x:c r="K203" s="117"/>
      <x:c r="L203" s="117"/>
      <x:c r="M203" s="117"/>
      <x:c r="N203" s="117"/>
      <x:c r="O203" s="117"/>
      <x:c r="P203" s="117"/>
      <x:c r="Q203" s="117"/>
      <x:c r="R203" s="117"/>
      <x:c r="S203" s="117"/>
      <x:c r="T203" s="117"/>
      <x:c r="U203" s="117"/>
      <x:c r="V203" s="117"/>
      <x:c r="W203" s="117"/>
      <x:c r="X203" s="117"/>
      <x:c r="Y203" s="117"/>
    </x:row>
    <x:row r="204">
      <x:c r="A204" s="117"/>
      <x:c r="B204" s="117"/>
      <x:c r="C204" s="117"/>
      <x:c r="D204" s="117"/>
      <x:c r="E204" s="117"/>
      <x:c r="F204" s="117"/>
      <x:c r="G204" s="117"/>
      <x:c r="H204" s="117"/>
      <x:c r="I204" s="117"/>
      <x:c r="J204" s="117"/>
      <x:c r="K204" s="117"/>
      <x:c r="L204" s="117"/>
      <x:c r="M204" s="117"/>
      <x:c r="N204" s="117"/>
      <x:c r="O204" s="117"/>
      <x:c r="P204" s="117"/>
      <x:c r="Q204" s="117"/>
      <x:c r="R204" s="117"/>
      <x:c r="S204" s="117"/>
      <x:c r="T204" s="117"/>
      <x:c r="U204" s="117"/>
      <x:c r="V204" s="117"/>
      <x:c r="W204" s="117"/>
      <x:c r="X204" s="117"/>
      <x:c r="Y204" s="117"/>
    </x:row>
    <x:row r="205">
      <x:c r="A205" s="117"/>
      <x:c r="B205" s="117"/>
      <x:c r="C205" s="117"/>
      <x:c r="D205" s="117"/>
      <x:c r="E205" s="117"/>
      <x:c r="F205" s="117"/>
      <x:c r="G205" s="117"/>
      <x:c r="H205" s="117"/>
      <x:c r="I205" s="117"/>
      <x:c r="J205" s="117"/>
      <x:c r="K205" s="117"/>
      <x:c r="L205" s="117"/>
      <x:c r="M205" s="117"/>
      <x:c r="N205" s="117"/>
      <x:c r="O205" s="117"/>
      <x:c r="P205" s="117"/>
      <x:c r="Q205" s="117"/>
      <x:c r="R205" s="117"/>
      <x:c r="S205" s="117"/>
      <x:c r="T205" s="117"/>
      <x:c r="U205" s="117"/>
      <x:c r="V205" s="117"/>
      <x:c r="W205" s="117"/>
      <x:c r="X205" s="117"/>
      <x:c r="Y205" s="117"/>
    </x:row>
    <x:row r="206">
      <x:c r="A206" s="117"/>
      <x:c r="B206" s="117"/>
      <x:c r="C206" s="117"/>
      <x:c r="D206" s="117"/>
      <x:c r="E206" s="117"/>
      <x:c r="F206" s="117"/>
      <x:c r="G206" s="117"/>
      <x:c r="H206" s="117"/>
      <x:c r="I206" s="117"/>
      <x:c r="J206" s="117"/>
      <x:c r="K206" s="117"/>
      <x:c r="L206" s="117"/>
      <x:c r="M206" s="117"/>
      <x:c r="N206" s="117"/>
      <x:c r="O206" s="117"/>
      <x:c r="P206" s="117"/>
      <x:c r="Q206" s="117"/>
      <x:c r="R206" s="117"/>
      <x:c r="S206" s="117"/>
      <x:c r="T206" s="117"/>
      <x:c r="U206" s="117"/>
      <x:c r="V206" s="117"/>
      <x:c r="W206" s="117"/>
      <x:c r="X206" s="117"/>
      <x:c r="Y206" s="117"/>
    </x:row>
    <x:row r="207">
      <x:c r="A207" s="117"/>
      <x:c r="B207" s="117"/>
      <x:c r="C207" s="117"/>
      <x:c r="D207" s="117"/>
      <x:c r="E207" s="117"/>
      <x:c r="F207" s="117"/>
      <x:c r="G207" s="117"/>
      <x:c r="H207" s="117"/>
      <x:c r="I207" s="117"/>
      <x:c r="J207" s="117"/>
      <x:c r="K207" s="117"/>
      <x:c r="L207" s="117"/>
      <x:c r="M207" s="117"/>
      <x:c r="N207" s="117"/>
      <x:c r="O207" s="117"/>
      <x:c r="P207" s="117"/>
      <x:c r="Q207" s="117"/>
      <x:c r="R207" s="117"/>
      <x:c r="S207" s="117"/>
      <x:c r="T207" s="117"/>
      <x:c r="U207" s="117"/>
      <x:c r="V207" s="117"/>
      <x:c r="W207" s="117"/>
      <x:c r="X207" s="117"/>
      <x:c r="Y207" s="117"/>
    </x:row>
    <x:row r="208">
      <x:c r="A208" s="117"/>
      <x:c r="B208" s="117"/>
      <x:c r="C208" s="117"/>
      <x:c r="D208" s="117"/>
      <x:c r="E208" s="117"/>
      <x:c r="F208" s="117"/>
      <x:c r="G208" s="117"/>
      <x:c r="H208" s="117"/>
      <x:c r="I208" s="117"/>
      <x:c r="J208" s="117"/>
      <x:c r="K208" s="117"/>
      <x:c r="L208" s="117"/>
      <x:c r="M208" s="117"/>
      <x:c r="N208" s="117"/>
      <x:c r="O208" s="117"/>
      <x:c r="P208" s="117"/>
      <x:c r="Q208" s="117"/>
      <x:c r="R208" s="117"/>
      <x:c r="S208" s="117"/>
      <x:c r="T208" s="117"/>
      <x:c r="U208" s="117"/>
      <x:c r="V208" s="117"/>
      <x:c r="W208" s="117"/>
      <x:c r="X208" s="117"/>
      <x:c r="Y208" s="117"/>
    </x:row>
    <x:row r="209">
      <x:c r="A209" s="117"/>
      <x:c r="B209" s="117"/>
      <x:c r="C209" s="117"/>
      <x:c r="D209" s="117"/>
      <x:c r="E209" s="117"/>
      <x:c r="F209" s="117"/>
      <x:c r="G209" s="117"/>
      <x:c r="H209" s="117"/>
      <x:c r="I209" s="117"/>
      <x:c r="J209" s="117"/>
      <x:c r="K209" s="117"/>
      <x:c r="L209" s="117"/>
      <x:c r="M209" s="117"/>
      <x:c r="N209" s="117"/>
      <x:c r="O209" s="117"/>
      <x:c r="P209" s="117"/>
      <x:c r="Q209" s="117"/>
      <x:c r="R209" s="117"/>
      <x:c r="S209" s="117"/>
      <x:c r="T209" s="117"/>
      <x:c r="U209" s="117"/>
      <x:c r="V209" s="117"/>
      <x:c r="W209" s="117"/>
      <x:c r="X209" s="117"/>
      <x:c r="Y209" s="117"/>
    </x:row>
    <x:row r="210">
      <x:c r="A210" s="117"/>
      <x:c r="B210" s="117"/>
      <x:c r="C210" s="117"/>
      <x:c r="D210" s="117"/>
      <x:c r="E210" s="117"/>
      <x:c r="F210" s="117"/>
      <x:c r="G210" s="117"/>
      <x:c r="H210" s="117"/>
      <x:c r="I210" s="117"/>
      <x:c r="J210" s="117"/>
      <x:c r="K210" s="117"/>
      <x:c r="L210" s="117"/>
      <x:c r="M210" s="117"/>
      <x:c r="N210" s="117"/>
      <x:c r="O210" s="117"/>
      <x:c r="P210" s="117"/>
      <x:c r="Q210" s="117"/>
      <x:c r="R210" s="117"/>
      <x:c r="S210" s="117"/>
      <x:c r="T210" s="117"/>
      <x:c r="U210" s="117"/>
      <x:c r="V210" s="117"/>
      <x:c r="W210" s="117"/>
      <x:c r="X210" s="117"/>
      <x:c r="Y210" s="117"/>
    </x:row>
    <x:row r="211">
      <x:c r="A211" s="117"/>
      <x:c r="B211" s="117"/>
      <x:c r="C211" s="117"/>
      <x:c r="D211" s="117"/>
      <x:c r="E211" s="117"/>
      <x:c r="F211" s="117"/>
      <x:c r="G211" s="117"/>
      <x:c r="H211" s="117"/>
      <x:c r="I211" s="117"/>
      <x:c r="J211" s="117"/>
      <x:c r="K211" s="117"/>
      <x:c r="L211" s="117"/>
      <x:c r="M211" s="117"/>
      <x:c r="N211" s="117"/>
      <x:c r="O211" s="117"/>
      <x:c r="P211" s="117"/>
      <x:c r="Q211" s="117"/>
      <x:c r="R211" s="117"/>
      <x:c r="S211" s="117"/>
      <x:c r="T211" s="117"/>
      <x:c r="U211" s="117"/>
      <x:c r="V211" s="117"/>
      <x:c r="W211" s="117"/>
      <x:c r="X211" s="117"/>
      <x:c r="Y211" s="117"/>
    </x:row>
    <x:row r="212">
      <x:c r="A212" s="117"/>
      <x:c r="B212" s="117"/>
      <x:c r="C212" s="117"/>
      <x:c r="D212" s="117"/>
      <x:c r="E212" s="117"/>
      <x:c r="F212" s="117"/>
      <x:c r="G212" s="117"/>
      <x:c r="H212" s="117"/>
      <x:c r="I212" s="117"/>
      <x:c r="J212" s="117"/>
      <x:c r="K212" s="117"/>
      <x:c r="L212" s="117"/>
      <x:c r="M212" s="117"/>
      <x:c r="N212" s="117"/>
      <x:c r="O212" s="117"/>
      <x:c r="P212" s="117"/>
      <x:c r="Q212" s="117"/>
      <x:c r="R212" s="117"/>
      <x:c r="S212" s="117"/>
      <x:c r="T212" s="117"/>
      <x:c r="U212" s="117"/>
      <x:c r="V212" s="117"/>
      <x:c r="W212" s="117"/>
      <x:c r="X212" s="117"/>
      <x:c r="Y212" s="117"/>
    </x:row>
    <x:row r="213">
      <x:c r="A213" s="117"/>
      <x:c r="B213" s="117"/>
      <x:c r="C213" s="117"/>
      <x:c r="D213" s="117"/>
      <x:c r="E213" s="117"/>
      <x:c r="F213" s="117"/>
      <x:c r="G213" s="117"/>
      <x:c r="H213" s="117"/>
      <x:c r="I213" s="117"/>
      <x:c r="J213" s="117"/>
      <x:c r="K213" s="117"/>
      <x:c r="L213" s="117"/>
      <x:c r="M213" s="117"/>
      <x:c r="N213" s="117"/>
      <x:c r="O213" s="117"/>
      <x:c r="P213" s="117"/>
      <x:c r="Q213" s="117"/>
      <x:c r="R213" s="117"/>
      <x:c r="S213" s="117"/>
      <x:c r="T213" s="117"/>
      <x:c r="U213" s="117"/>
      <x:c r="V213" s="117"/>
      <x:c r="W213" s="117"/>
      <x:c r="X213" s="117"/>
      <x:c r="Y213" s="117"/>
    </x:row>
    <x:row r="214">
      <x:c r="A214" s="117"/>
      <x:c r="B214" s="117"/>
      <x:c r="C214" s="117"/>
      <x:c r="D214" s="117"/>
      <x:c r="E214" s="117"/>
      <x:c r="F214" s="117"/>
      <x:c r="G214" s="117"/>
      <x:c r="H214" s="117"/>
      <x:c r="I214" s="117"/>
      <x:c r="J214" s="117"/>
      <x:c r="K214" s="117"/>
      <x:c r="L214" s="117"/>
      <x:c r="M214" s="117"/>
      <x:c r="N214" s="117"/>
      <x:c r="O214" s="117"/>
      <x:c r="P214" s="117"/>
      <x:c r="Q214" s="117"/>
      <x:c r="R214" s="117"/>
      <x:c r="S214" s="117"/>
      <x:c r="T214" s="117"/>
      <x:c r="U214" s="117"/>
      <x:c r="V214" s="117"/>
      <x:c r="W214" s="117"/>
      <x:c r="X214" s="117"/>
      <x:c r="Y214" s="117"/>
    </x:row>
    <x:row r="215">
      <x:c r="A215" s="117"/>
      <x:c r="B215" s="117"/>
      <x:c r="C215" s="117"/>
      <x:c r="D215" s="117"/>
      <x:c r="E215" s="117"/>
      <x:c r="F215" s="117"/>
      <x:c r="G215" s="117"/>
      <x:c r="H215" s="117"/>
      <x:c r="I215" s="117"/>
      <x:c r="J215" s="117"/>
      <x:c r="K215" s="117"/>
      <x:c r="L215" s="117"/>
      <x:c r="M215" s="117"/>
      <x:c r="N215" s="117"/>
      <x:c r="O215" s="117"/>
      <x:c r="P215" s="117"/>
      <x:c r="Q215" s="117"/>
      <x:c r="R215" s="117"/>
      <x:c r="S215" s="117"/>
      <x:c r="T215" s="117"/>
      <x:c r="U215" s="117"/>
      <x:c r="V215" s="117"/>
      <x:c r="W215" s="117"/>
      <x:c r="X215" s="117"/>
      <x:c r="Y215" s="117"/>
    </x:row>
    <x:row r="216">
      <x:c r="A216" s="117"/>
      <x:c r="B216" s="117"/>
      <x:c r="C216" s="117"/>
      <x:c r="D216" s="117"/>
      <x:c r="E216" s="117"/>
      <x:c r="F216" s="117"/>
      <x:c r="G216" s="117"/>
      <x:c r="H216" s="117"/>
      <x:c r="I216" s="117"/>
      <x:c r="J216" s="117"/>
      <x:c r="K216" s="117"/>
      <x:c r="L216" s="117"/>
      <x:c r="M216" s="117"/>
      <x:c r="N216" s="117"/>
      <x:c r="O216" s="117"/>
      <x:c r="P216" s="117"/>
      <x:c r="Q216" s="117"/>
      <x:c r="R216" s="117"/>
      <x:c r="S216" s="117"/>
      <x:c r="T216" s="117"/>
      <x:c r="U216" s="117"/>
      <x:c r="V216" s="117"/>
      <x:c r="W216" s="117"/>
      <x:c r="X216" s="117"/>
      <x:c r="Y216" s="117"/>
    </x:row>
    <x:row r="217">
      <x:c r="A217" s="117"/>
      <x:c r="B217" s="117"/>
      <x:c r="C217" s="117"/>
      <x:c r="D217" s="117"/>
      <x:c r="E217" s="117"/>
      <x:c r="F217" s="117"/>
      <x:c r="G217" s="117"/>
      <x:c r="H217" s="117"/>
      <x:c r="I217" s="117"/>
      <x:c r="J217" s="117"/>
      <x:c r="K217" s="117"/>
      <x:c r="L217" s="117"/>
      <x:c r="M217" s="117"/>
      <x:c r="N217" s="117"/>
      <x:c r="O217" s="117"/>
      <x:c r="P217" s="117"/>
      <x:c r="Q217" s="117"/>
      <x:c r="R217" s="117"/>
      <x:c r="S217" s="117"/>
      <x:c r="T217" s="117"/>
      <x:c r="U217" s="117"/>
      <x:c r="V217" s="117"/>
      <x:c r="W217" s="117"/>
      <x:c r="X217" s="117"/>
      <x:c r="Y217" s="117"/>
    </x:row>
    <x:row r="218">
      <x:c r="A218" s="117"/>
      <x:c r="B218" s="117"/>
      <x:c r="C218" s="117"/>
      <x:c r="D218" s="117"/>
      <x:c r="E218" s="117"/>
      <x:c r="F218" s="117"/>
      <x:c r="G218" s="117"/>
      <x:c r="H218" s="117"/>
      <x:c r="I218" s="117"/>
      <x:c r="J218" s="117"/>
      <x:c r="K218" s="117"/>
      <x:c r="L218" s="117"/>
      <x:c r="M218" s="117"/>
      <x:c r="N218" s="117"/>
      <x:c r="O218" s="117"/>
      <x:c r="P218" s="117"/>
      <x:c r="Q218" s="117"/>
      <x:c r="R218" s="117"/>
      <x:c r="S218" s="117"/>
      <x:c r="T218" s="117"/>
      <x:c r="U218" s="117"/>
      <x:c r="V218" s="117"/>
      <x:c r="W218" s="117"/>
      <x:c r="X218" s="117"/>
      <x:c r="Y218" s="117"/>
    </x:row>
    <x:row r="219">
      <x:c r="A219" s="117"/>
      <x:c r="B219" s="117"/>
      <x:c r="C219" s="117"/>
      <x:c r="D219" s="117"/>
      <x:c r="E219" s="117"/>
      <x:c r="F219" s="117"/>
      <x:c r="G219" s="117"/>
      <x:c r="H219" s="117"/>
      <x:c r="I219" s="117"/>
      <x:c r="J219" s="117"/>
      <x:c r="K219" s="117"/>
      <x:c r="L219" s="117"/>
      <x:c r="M219" s="117"/>
      <x:c r="N219" s="117"/>
      <x:c r="O219" s="117"/>
      <x:c r="P219" s="117"/>
      <x:c r="Q219" s="117"/>
      <x:c r="R219" s="117"/>
      <x:c r="S219" s="117"/>
      <x:c r="T219" s="117"/>
      <x:c r="U219" s="117"/>
      <x:c r="V219" s="117"/>
      <x:c r="W219" s="117"/>
      <x:c r="X219" s="117"/>
      <x:c r="Y219" s="117"/>
    </x:row>
    <x:row r="220">
      <x:c r="A220" s="117"/>
      <x:c r="B220" s="117"/>
      <x:c r="C220" s="117"/>
      <x:c r="D220" s="117"/>
      <x:c r="E220" s="117"/>
      <x:c r="F220" s="117"/>
      <x:c r="G220" s="117"/>
      <x:c r="H220" s="117"/>
      <x:c r="I220" s="117"/>
      <x:c r="J220" s="117"/>
      <x:c r="K220" s="117"/>
      <x:c r="L220" s="117"/>
      <x:c r="M220" s="117"/>
      <x:c r="N220" s="117"/>
      <x:c r="O220" s="117"/>
      <x:c r="P220" s="117"/>
      <x:c r="Q220" s="117"/>
      <x:c r="R220" s="117"/>
      <x:c r="S220" s="117"/>
      <x:c r="T220" s="117"/>
      <x:c r="U220" s="117"/>
      <x:c r="V220" s="117"/>
      <x:c r="W220" s="117"/>
      <x:c r="X220" s="117"/>
      <x:c r="Y220" s="117"/>
    </x:row>
    <x:row r="221">
      <x:c r="A221" s="117"/>
      <x:c r="B221" s="117"/>
      <x:c r="C221" s="117"/>
      <x:c r="D221" s="117"/>
      <x:c r="E221" s="117"/>
      <x:c r="F221" s="117"/>
      <x:c r="G221" s="117"/>
      <x:c r="H221" s="117"/>
      <x:c r="I221" s="117"/>
      <x:c r="J221" s="117"/>
      <x:c r="K221" s="117"/>
      <x:c r="L221" s="117"/>
      <x:c r="M221" s="117"/>
      <x:c r="N221" s="117"/>
      <x:c r="O221" s="117"/>
      <x:c r="P221" s="117"/>
      <x:c r="Q221" s="117"/>
      <x:c r="R221" s="117"/>
      <x:c r="S221" s="117"/>
      <x:c r="T221" s="117"/>
      <x:c r="U221" s="117"/>
      <x:c r="V221" s="117"/>
      <x:c r="W221" s="117"/>
      <x:c r="X221" s="117"/>
      <x:c r="Y221" s="117"/>
    </x:row>
    <x:row r="222">
      <x:c r="A222" s="117"/>
      <x:c r="B222" s="117"/>
      <x:c r="C222" s="117"/>
      <x:c r="D222" s="117"/>
      <x:c r="E222" s="117"/>
      <x:c r="F222" s="117"/>
      <x:c r="G222" s="117"/>
      <x:c r="H222" s="117"/>
      <x:c r="I222" s="117"/>
      <x:c r="J222" s="117"/>
      <x:c r="K222" s="117"/>
      <x:c r="L222" s="117"/>
      <x:c r="M222" s="117"/>
      <x:c r="N222" s="117"/>
      <x:c r="O222" s="117"/>
      <x:c r="P222" s="117"/>
      <x:c r="Q222" s="117"/>
      <x:c r="R222" s="117"/>
      <x:c r="S222" s="117"/>
      <x:c r="T222" s="117"/>
      <x:c r="U222" s="117"/>
      <x:c r="V222" s="117"/>
      <x:c r="W222" s="117"/>
      <x:c r="X222" s="117"/>
      <x:c r="Y222" s="117"/>
    </x:row>
    <x:row r="223">
      <x:c r="A223" s="117"/>
      <x:c r="B223" s="117"/>
      <x:c r="C223" s="117"/>
      <x:c r="D223" s="117"/>
      <x:c r="E223" s="117"/>
      <x:c r="F223" s="117"/>
      <x:c r="G223" s="117"/>
      <x:c r="H223" s="117"/>
      <x:c r="I223" s="117"/>
      <x:c r="J223" s="117"/>
      <x:c r="K223" s="117"/>
      <x:c r="L223" s="117"/>
      <x:c r="M223" s="117"/>
      <x:c r="N223" s="117"/>
      <x:c r="O223" s="117"/>
      <x:c r="P223" s="117"/>
      <x:c r="Q223" s="117"/>
      <x:c r="R223" s="117"/>
      <x:c r="S223" s="117"/>
      <x:c r="T223" s="117"/>
      <x:c r="U223" s="117"/>
      <x:c r="V223" s="117"/>
      <x:c r="W223" s="117"/>
      <x:c r="X223" s="117"/>
      <x:c r="Y223" s="117"/>
    </x:row>
    <x:row r="224">
      <x:c r="A224" s="117"/>
      <x:c r="B224" s="117"/>
      <x:c r="C224" s="117"/>
      <x:c r="D224" s="117"/>
      <x:c r="E224" s="117"/>
      <x:c r="F224" s="117"/>
      <x:c r="G224" s="117"/>
      <x:c r="H224" s="117"/>
      <x:c r="I224" s="117"/>
      <x:c r="J224" s="117"/>
      <x:c r="K224" s="117"/>
      <x:c r="L224" s="117"/>
      <x:c r="M224" s="117"/>
      <x:c r="N224" s="117"/>
      <x:c r="O224" s="117"/>
      <x:c r="P224" s="117"/>
      <x:c r="Q224" s="117"/>
      <x:c r="R224" s="117"/>
      <x:c r="S224" s="117"/>
      <x:c r="T224" s="117"/>
      <x:c r="U224" s="117"/>
      <x:c r="V224" s="117"/>
      <x:c r="W224" s="117"/>
      <x:c r="X224" s="117"/>
      <x:c r="Y224" s="117"/>
    </x:row>
    <x:row r="225">
      <x:c r="A225" s="117"/>
      <x:c r="B225" s="117"/>
      <x:c r="C225" s="117"/>
      <x:c r="D225" s="117"/>
      <x:c r="E225" s="117"/>
      <x:c r="F225" s="117"/>
      <x:c r="G225" s="117"/>
      <x:c r="H225" s="117"/>
      <x:c r="I225" s="117"/>
      <x:c r="J225" s="117"/>
      <x:c r="K225" s="117"/>
      <x:c r="L225" s="117"/>
      <x:c r="M225" s="117"/>
      <x:c r="N225" s="117"/>
      <x:c r="O225" s="117"/>
      <x:c r="P225" s="117"/>
      <x:c r="Q225" s="117"/>
      <x:c r="R225" s="117"/>
      <x:c r="S225" s="117"/>
      <x:c r="T225" s="117"/>
      <x:c r="U225" s="117"/>
      <x:c r="V225" s="117"/>
      <x:c r="W225" s="117"/>
      <x:c r="X225" s="117"/>
      <x:c r="Y225" s="117"/>
    </x:row>
    <x:row r="226">
      <x:c r="A226" s="117"/>
      <x:c r="B226" s="117"/>
      <x:c r="C226" s="117"/>
      <x:c r="D226" s="117"/>
      <x:c r="E226" s="117"/>
      <x:c r="F226" s="117"/>
      <x:c r="G226" s="117"/>
      <x:c r="H226" s="117"/>
      <x:c r="I226" s="117"/>
      <x:c r="J226" s="117"/>
      <x:c r="K226" s="117"/>
      <x:c r="L226" s="117"/>
      <x:c r="M226" s="117"/>
      <x:c r="N226" s="117"/>
      <x:c r="O226" s="117"/>
      <x:c r="P226" s="117"/>
      <x:c r="Q226" s="117"/>
      <x:c r="R226" s="117"/>
      <x:c r="S226" s="117"/>
      <x:c r="T226" s="117"/>
      <x:c r="U226" s="117"/>
      <x:c r="V226" s="117"/>
      <x:c r="W226" s="117"/>
      <x:c r="X226" s="117"/>
      <x:c r="Y226" s="117"/>
    </x:row>
    <x:row r="227">
      <x:c r="A227" s="117"/>
      <x:c r="B227" s="117"/>
      <x:c r="C227" s="117"/>
      <x:c r="D227" s="117"/>
      <x:c r="E227" s="117"/>
      <x:c r="F227" s="117"/>
      <x:c r="G227" s="117"/>
      <x:c r="H227" s="117"/>
      <x:c r="I227" s="117"/>
      <x:c r="J227" s="117"/>
      <x:c r="K227" s="117"/>
      <x:c r="L227" s="117"/>
      <x:c r="M227" s="117"/>
      <x:c r="N227" s="117"/>
      <x:c r="O227" s="117"/>
      <x:c r="P227" s="117"/>
      <x:c r="Q227" s="117"/>
      <x:c r="R227" s="117"/>
      <x:c r="S227" s="117"/>
      <x:c r="T227" s="117"/>
      <x:c r="U227" s="117"/>
      <x:c r="V227" s="117"/>
      <x:c r="W227" s="117"/>
      <x:c r="X227" s="117"/>
      <x:c r="Y227" s="117"/>
    </x:row>
    <x:row r="228">
      <x:c r="A228" s="117"/>
      <x:c r="B228" s="117"/>
      <x:c r="C228" s="117"/>
      <x:c r="D228" s="117"/>
      <x:c r="E228" s="117"/>
      <x:c r="F228" s="117"/>
      <x:c r="G228" s="117"/>
      <x:c r="H228" s="117"/>
      <x:c r="I228" s="117"/>
      <x:c r="J228" s="117"/>
      <x:c r="K228" s="117"/>
      <x:c r="L228" s="117"/>
      <x:c r="M228" s="117"/>
      <x:c r="N228" s="117"/>
      <x:c r="O228" s="117"/>
      <x:c r="P228" s="117"/>
      <x:c r="Q228" s="117"/>
      <x:c r="R228" s="117"/>
      <x:c r="S228" s="117"/>
      <x:c r="T228" s="117"/>
      <x:c r="U228" s="117"/>
      <x:c r="V228" s="117"/>
      <x:c r="W228" s="117"/>
      <x:c r="X228" s="117"/>
      <x:c r="Y228" s="117"/>
    </x:row>
    <x:row r="229">
      <x:c r="A229" s="117"/>
      <x:c r="B229" s="117"/>
      <x:c r="C229" s="117"/>
      <x:c r="D229" s="117"/>
      <x:c r="E229" s="117"/>
      <x:c r="F229" s="117"/>
      <x:c r="G229" s="117"/>
      <x:c r="H229" s="117"/>
      <x:c r="I229" s="117"/>
      <x:c r="J229" s="117"/>
      <x:c r="K229" s="117"/>
      <x:c r="L229" s="117"/>
      <x:c r="M229" s="117"/>
      <x:c r="N229" s="117"/>
      <x:c r="O229" s="117"/>
      <x:c r="P229" s="117"/>
      <x:c r="Q229" s="117"/>
      <x:c r="R229" s="117"/>
      <x:c r="S229" s="117"/>
      <x:c r="T229" s="117"/>
      <x:c r="U229" s="117"/>
      <x:c r="V229" s="117"/>
      <x:c r="W229" s="117"/>
      <x:c r="X229" s="117"/>
      <x:c r="Y229" s="117"/>
    </x:row>
    <x:row r="230">
      <x:c r="A230" s="117"/>
      <x:c r="B230" s="117"/>
      <x:c r="C230" s="117"/>
      <x:c r="D230" s="117"/>
      <x:c r="E230" s="117"/>
      <x:c r="F230" s="117"/>
      <x:c r="G230" s="117"/>
      <x:c r="H230" s="117"/>
      <x:c r="I230" s="117"/>
      <x:c r="J230" s="117"/>
      <x:c r="K230" s="117"/>
      <x:c r="L230" s="117"/>
      <x:c r="M230" s="117"/>
      <x:c r="N230" s="117"/>
      <x:c r="O230" s="117"/>
      <x:c r="P230" s="117"/>
      <x:c r="Q230" s="117"/>
      <x:c r="R230" s="117"/>
      <x:c r="S230" s="117"/>
      <x:c r="T230" s="117"/>
      <x:c r="U230" s="117"/>
      <x:c r="V230" s="117"/>
      <x:c r="W230" s="117"/>
      <x:c r="X230" s="117"/>
      <x:c r="Y230" s="117"/>
    </x:row>
    <x:row r="231">
      <x:c r="A231" s="117"/>
      <x:c r="B231" s="117"/>
      <x:c r="C231" s="117"/>
      <x:c r="D231" s="117"/>
      <x:c r="E231" s="117"/>
      <x:c r="F231" s="117"/>
      <x:c r="G231" s="117"/>
      <x:c r="H231" s="117"/>
      <x:c r="I231" s="117"/>
      <x:c r="J231" s="117"/>
      <x:c r="K231" s="117"/>
      <x:c r="L231" s="117"/>
      <x:c r="M231" s="117"/>
      <x:c r="N231" s="117"/>
      <x:c r="O231" s="117"/>
      <x:c r="P231" s="117"/>
      <x:c r="Q231" s="117"/>
      <x:c r="R231" s="117"/>
      <x:c r="S231" s="117"/>
      <x:c r="T231" s="117"/>
      <x:c r="U231" s="117"/>
      <x:c r="V231" s="117"/>
      <x:c r="W231" s="117"/>
      <x:c r="X231" s="117"/>
      <x:c r="Y231" s="117"/>
    </x:row>
    <x:row r="232">
      <x:c r="A232" s="117"/>
      <x:c r="B232" s="117"/>
      <x:c r="C232" s="117"/>
      <x:c r="D232" s="117"/>
      <x:c r="E232" s="117"/>
      <x:c r="F232" s="117"/>
      <x:c r="G232" s="117"/>
      <x:c r="H232" s="117"/>
      <x:c r="I232" s="117"/>
      <x:c r="J232" s="117"/>
      <x:c r="K232" s="117"/>
      <x:c r="L232" s="117"/>
      <x:c r="M232" s="117"/>
      <x:c r="N232" s="117"/>
      <x:c r="O232" s="117"/>
      <x:c r="P232" s="117"/>
      <x:c r="Q232" s="117"/>
      <x:c r="R232" s="117"/>
      <x:c r="S232" s="117"/>
      <x:c r="T232" s="117"/>
      <x:c r="U232" s="117"/>
      <x:c r="V232" s="117"/>
      <x:c r="W232" s="117"/>
      <x:c r="X232" s="117"/>
      <x:c r="Y232" s="117"/>
    </x:row>
    <x:row r="233">
      <x:c r="A233" s="117"/>
      <x:c r="B233" s="117"/>
      <x:c r="C233" s="117"/>
      <x:c r="D233" s="117"/>
      <x:c r="E233" s="117"/>
      <x:c r="F233" s="117"/>
      <x:c r="G233" s="117"/>
      <x:c r="H233" s="117"/>
      <x:c r="I233" s="117"/>
      <x:c r="J233" s="117"/>
      <x:c r="K233" s="117"/>
      <x:c r="L233" s="117"/>
      <x:c r="M233" s="117"/>
      <x:c r="N233" s="117"/>
      <x:c r="O233" s="117"/>
      <x:c r="P233" s="117"/>
      <x:c r="Q233" s="117"/>
      <x:c r="R233" s="117"/>
      <x:c r="S233" s="117"/>
      <x:c r="T233" s="117"/>
      <x:c r="U233" s="117"/>
      <x:c r="V233" s="117"/>
      <x:c r="W233" s="117"/>
      <x:c r="X233" s="117"/>
      <x:c r="Y233" s="117"/>
    </x:row>
    <x:row r="234">
      <x:c r="A234" s="117"/>
      <x:c r="B234" s="117"/>
      <x:c r="C234" s="117"/>
      <x:c r="D234" s="117"/>
      <x:c r="E234" s="117"/>
      <x:c r="F234" s="117"/>
      <x:c r="G234" s="117"/>
      <x:c r="H234" s="117"/>
      <x:c r="I234" s="117"/>
      <x:c r="J234" s="117"/>
      <x:c r="K234" s="117"/>
      <x:c r="L234" s="117"/>
      <x:c r="M234" s="117"/>
      <x:c r="N234" s="117"/>
      <x:c r="O234" s="117"/>
      <x:c r="P234" s="117"/>
      <x:c r="Q234" s="117"/>
      <x:c r="R234" s="117"/>
      <x:c r="S234" s="117"/>
      <x:c r="T234" s="117"/>
      <x:c r="U234" s="117"/>
      <x:c r="V234" s="117"/>
      <x:c r="W234" s="117"/>
      <x:c r="X234" s="117"/>
      <x:c r="Y234" s="117"/>
    </x:row>
    <x:row r="235">
      <x:c r="A235" s="117"/>
      <x:c r="B235" s="117"/>
      <x:c r="C235" s="117"/>
      <x:c r="D235" s="117"/>
      <x:c r="E235" s="117"/>
      <x:c r="F235" s="117"/>
      <x:c r="G235" s="117"/>
      <x:c r="H235" s="117"/>
      <x:c r="I235" s="117"/>
      <x:c r="J235" s="117"/>
      <x:c r="K235" s="117"/>
      <x:c r="L235" s="117"/>
      <x:c r="M235" s="117"/>
      <x:c r="N235" s="117"/>
      <x:c r="O235" s="117"/>
      <x:c r="P235" s="117"/>
      <x:c r="Q235" s="117"/>
      <x:c r="R235" s="117"/>
      <x:c r="S235" s="117"/>
      <x:c r="T235" s="117"/>
      <x:c r="U235" s="117"/>
      <x:c r="V235" s="117"/>
      <x:c r="W235" s="117"/>
      <x:c r="X235" s="117"/>
      <x:c r="Y235" s="117"/>
    </x:row>
    <x:row r="236">
      <x:c r="A236" s="117"/>
      <x:c r="B236" s="117"/>
      <x:c r="C236" s="117"/>
      <x:c r="D236" s="117"/>
      <x:c r="E236" s="117"/>
      <x:c r="F236" s="117"/>
      <x:c r="G236" s="117"/>
      <x:c r="H236" s="117"/>
      <x:c r="I236" s="117"/>
      <x:c r="J236" s="117"/>
      <x:c r="K236" s="117"/>
      <x:c r="L236" s="117"/>
      <x:c r="M236" s="117"/>
      <x:c r="N236" s="117"/>
      <x:c r="O236" s="117"/>
      <x:c r="P236" s="117"/>
      <x:c r="Q236" s="117"/>
      <x:c r="R236" s="117"/>
      <x:c r="S236" s="117"/>
      <x:c r="T236" s="117"/>
      <x:c r="U236" s="117"/>
      <x:c r="V236" s="117"/>
      <x:c r="W236" s="117"/>
      <x:c r="X236" s="117"/>
      <x:c r="Y236" s="117"/>
    </x:row>
    <x:row r="237">
      <x:c r="A237" s="117"/>
      <x:c r="B237" s="117"/>
      <x:c r="C237" s="117"/>
      <x:c r="D237" s="117"/>
      <x:c r="E237" s="117"/>
      <x:c r="F237" s="117"/>
      <x:c r="G237" s="117"/>
      <x:c r="H237" s="117"/>
      <x:c r="I237" s="117"/>
      <x:c r="J237" s="117"/>
      <x:c r="K237" s="117"/>
      <x:c r="L237" s="117"/>
      <x:c r="M237" s="117"/>
      <x:c r="N237" s="117"/>
      <x:c r="O237" s="117"/>
      <x:c r="P237" s="117"/>
      <x:c r="Q237" s="117"/>
      <x:c r="R237" s="117"/>
      <x:c r="S237" s="117"/>
      <x:c r="T237" s="117"/>
      <x:c r="U237" s="117"/>
      <x:c r="V237" s="117"/>
      <x:c r="W237" s="117"/>
      <x:c r="X237" s="117"/>
      <x:c r="Y237" s="117"/>
    </x:row>
    <x:row r="238">
      <x:c r="A238" s="117"/>
      <x:c r="B238" s="117"/>
      <x:c r="C238" s="117"/>
      <x:c r="D238" s="117"/>
      <x:c r="E238" s="117"/>
      <x:c r="F238" s="117"/>
      <x:c r="G238" s="117"/>
      <x:c r="H238" s="117"/>
      <x:c r="I238" s="117"/>
      <x:c r="J238" s="117"/>
      <x:c r="K238" s="117"/>
      <x:c r="L238" s="117"/>
      <x:c r="M238" s="117"/>
      <x:c r="N238" s="117"/>
      <x:c r="O238" s="117"/>
      <x:c r="P238" s="117"/>
      <x:c r="Q238" s="117"/>
      <x:c r="R238" s="117"/>
      <x:c r="S238" s="117"/>
      <x:c r="T238" s="117"/>
      <x:c r="U238" s="117"/>
      <x:c r="V238" s="117"/>
      <x:c r="W238" s="117"/>
      <x:c r="X238" s="117"/>
      <x:c r="Y238" s="117"/>
    </x:row>
    <x:row r="239">
      <x:c r="A239" s="117"/>
      <x:c r="B239" s="117"/>
      <x:c r="C239" s="117"/>
      <x:c r="D239" s="117"/>
      <x:c r="E239" s="117"/>
      <x:c r="F239" s="117"/>
      <x:c r="G239" s="117"/>
      <x:c r="H239" s="117"/>
      <x:c r="I239" s="117"/>
      <x:c r="J239" s="117"/>
      <x:c r="K239" s="117"/>
      <x:c r="L239" s="117"/>
      <x:c r="M239" s="117"/>
      <x:c r="N239" s="117"/>
      <x:c r="O239" s="117"/>
      <x:c r="P239" s="117"/>
      <x:c r="Q239" s="117"/>
      <x:c r="R239" s="117"/>
      <x:c r="S239" s="117"/>
      <x:c r="T239" s="117"/>
      <x:c r="U239" s="117"/>
      <x:c r="V239" s="117"/>
      <x:c r="W239" s="117"/>
      <x:c r="X239" s="117"/>
      <x:c r="Y239" s="117"/>
    </x:row>
    <x:row r="240">
      <x:c r="A240" s="117"/>
      <x:c r="B240" s="117"/>
      <x:c r="C240" s="117"/>
      <x:c r="D240" s="117"/>
      <x:c r="E240" s="117"/>
      <x:c r="F240" s="117"/>
      <x:c r="G240" s="117"/>
      <x:c r="H240" s="117"/>
      <x:c r="I240" s="117"/>
      <x:c r="J240" s="117"/>
      <x:c r="K240" s="117"/>
      <x:c r="L240" s="117"/>
      <x:c r="M240" s="117"/>
      <x:c r="N240" s="117"/>
      <x:c r="O240" s="117"/>
      <x:c r="P240" s="117"/>
      <x:c r="Q240" s="117"/>
      <x:c r="R240" s="117"/>
      <x:c r="S240" s="117"/>
      <x:c r="T240" s="117"/>
      <x:c r="U240" s="117"/>
      <x:c r="V240" s="117"/>
      <x:c r="W240" s="117"/>
      <x:c r="X240" s="117"/>
      <x:c r="Y240" s="117"/>
    </x:row>
    <x:row r="241">
      <x:c r="A241" s="117"/>
      <x:c r="B241" s="117"/>
      <x:c r="C241" s="117"/>
      <x:c r="D241" s="117"/>
      <x:c r="E241" s="117"/>
      <x:c r="F241" s="117"/>
      <x:c r="G241" s="117"/>
      <x:c r="H241" s="117"/>
      <x:c r="I241" s="117"/>
      <x:c r="J241" s="117"/>
      <x:c r="K241" s="117"/>
      <x:c r="L241" s="117"/>
      <x:c r="M241" s="117"/>
      <x:c r="N241" s="117"/>
      <x:c r="O241" s="117"/>
      <x:c r="P241" s="117"/>
      <x:c r="Q241" s="117"/>
      <x:c r="R241" s="117"/>
      <x:c r="S241" s="117"/>
      <x:c r="T241" s="117"/>
      <x:c r="U241" s="117"/>
      <x:c r="V241" s="117"/>
      <x:c r="W241" s="117"/>
      <x:c r="X241" s="117"/>
      <x:c r="Y241" s="117"/>
    </x:row>
    <x:row r="242">
      <x:c r="A242" s="117"/>
      <x:c r="B242" s="117"/>
      <x:c r="C242" s="117"/>
      <x:c r="D242" s="117"/>
      <x:c r="E242" s="117"/>
      <x:c r="F242" s="117"/>
      <x:c r="G242" s="117"/>
      <x:c r="H242" s="117"/>
      <x:c r="I242" s="117"/>
      <x:c r="J242" s="117"/>
      <x:c r="K242" s="117"/>
      <x:c r="L242" s="117"/>
      <x:c r="M242" s="117"/>
      <x:c r="N242" s="117"/>
      <x:c r="O242" s="117"/>
      <x:c r="P242" s="117"/>
      <x:c r="Q242" s="117"/>
      <x:c r="R242" s="117"/>
      <x:c r="S242" s="117"/>
      <x:c r="T242" s="117"/>
      <x:c r="U242" s="117"/>
      <x:c r="V242" s="117"/>
      <x:c r="W242" s="117"/>
      <x:c r="X242" s="117"/>
      <x:c r="Y242" s="117"/>
    </x:row>
    <x:row r="243">
      <x:c r="A243" s="117"/>
      <x:c r="B243" s="117"/>
      <x:c r="C243" s="117"/>
      <x:c r="D243" s="117"/>
      <x:c r="E243" s="117"/>
      <x:c r="F243" s="117"/>
      <x:c r="G243" s="117"/>
      <x:c r="H243" s="117"/>
      <x:c r="I243" s="117"/>
      <x:c r="J243" s="117"/>
      <x:c r="K243" s="117"/>
      <x:c r="L243" s="117"/>
      <x:c r="M243" s="117"/>
      <x:c r="N243" s="117"/>
      <x:c r="O243" s="117"/>
      <x:c r="P243" s="117"/>
      <x:c r="Q243" s="117"/>
      <x:c r="R243" s="117"/>
      <x:c r="S243" s="117"/>
      <x:c r="T243" s="117"/>
      <x:c r="U243" s="117"/>
      <x:c r="V243" s="117"/>
      <x:c r="W243" s="117"/>
      <x:c r="X243" s="117"/>
      <x:c r="Y243" s="117"/>
    </x:row>
    <x:row r="244">
      <x:c r="A244" s="117"/>
      <x:c r="B244" s="117"/>
      <x:c r="C244" s="117"/>
      <x:c r="D244" s="117"/>
      <x:c r="E244" s="117"/>
      <x:c r="F244" s="117"/>
      <x:c r="G244" s="117"/>
      <x:c r="H244" s="117"/>
      <x:c r="I244" s="117"/>
      <x:c r="J244" s="117"/>
      <x:c r="K244" s="117"/>
      <x:c r="L244" s="117"/>
      <x:c r="M244" s="117"/>
      <x:c r="N244" s="117"/>
      <x:c r="O244" s="117"/>
      <x:c r="P244" s="117"/>
      <x:c r="Q244" s="117"/>
      <x:c r="R244" s="117"/>
      <x:c r="S244" s="117"/>
      <x:c r="T244" s="117"/>
      <x:c r="U244" s="117"/>
      <x:c r="V244" s="117"/>
      <x:c r="W244" s="117"/>
      <x:c r="X244" s="117"/>
      <x:c r="Y244" s="117"/>
    </x:row>
    <x:row r="245">
      <x:c r="A245" s="117"/>
      <x:c r="B245" s="117"/>
      <x:c r="C245" s="117"/>
      <x:c r="D245" s="117"/>
      <x:c r="E245" s="117"/>
      <x:c r="F245" s="117"/>
      <x:c r="G245" s="117"/>
      <x:c r="H245" s="117"/>
      <x:c r="I245" s="117"/>
      <x:c r="J245" s="117"/>
      <x:c r="K245" s="117"/>
      <x:c r="L245" s="117"/>
      <x:c r="M245" s="117"/>
      <x:c r="N245" s="117"/>
      <x:c r="O245" s="117"/>
      <x:c r="P245" s="117"/>
      <x:c r="Q245" s="117"/>
      <x:c r="R245" s="117"/>
      <x:c r="S245" s="117"/>
      <x:c r="T245" s="117"/>
      <x:c r="U245" s="117"/>
      <x:c r="V245" s="117"/>
      <x:c r="W245" s="117"/>
      <x:c r="X245" s="117"/>
      <x:c r="Y245" s="117"/>
    </x:row>
    <x:row r="246">
      <x:c r="A246" s="117"/>
      <x:c r="B246" s="117"/>
      <x:c r="C246" s="117"/>
      <x:c r="D246" s="117"/>
      <x:c r="E246" s="117"/>
      <x:c r="F246" s="117"/>
      <x:c r="G246" s="117"/>
      <x:c r="H246" s="117"/>
      <x:c r="I246" s="117"/>
      <x:c r="J246" s="117"/>
      <x:c r="K246" s="117"/>
      <x:c r="L246" s="117"/>
      <x:c r="M246" s="117"/>
      <x:c r="N246" s="117"/>
      <x:c r="O246" s="117"/>
      <x:c r="P246" s="117"/>
      <x:c r="Q246" s="117"/>
      <x:c r="R246" s="117"/>
      <x:c r="S246" s="117"/>
      <x:c r="T246" s="117"/>
      <x:c r="U246" s="117"/>
      <x:c r="V246" s="117"/>
      <x:c r="W246" s="117"/>
      <x:c r="X246" s="117"/>
      <x:c r="Y246" s="117"/>
    </x:row>
    <x:row r="247">
      <x:c r="A247" s="117"/>
      <x:c r="B247" s="117"/>
      <x:c r="C247" s="117"/>
      <x:c r="D247" s="117"/>
      <x:c r="E247" s="117"/>
      <x:c r="F247" s="117"/>
      <x:c r="G247" s="117"/>
      <x:c r="H247" s="117"/>
      <x:c r="I247" s="117"/>
      <x:c r="J247" s="117"/>
      <x:c r="K247" s="117"/>
      <x:c r="L247" s="117"/>
      <x:c r="M247" s="117"/>
      <x:c r="N247" s="117"/>
      <x:c r="O247" s="117"/>
      <x:c r="P247" s="117"/>
      <x:c r="Q247" s="117"/>
      <x:c r="R247" s="117"/>
      <x:c r="S247" s="117"/>
      <x:c r="T247" s="117"/>
      <x:c r="U247" s="117"/>
      <x:c r="V247" s="117"/>
      <x:c r="W247" s="117"/>
      <x:c r="X247" s="117"/>
      <x:c r="Y247" s="117"/>
    </x:row>
    <x:row r="248">
      <x:c r="A248" s="117"/>
      <x:c r="B248" s="117"/>
      <x:c r="C248" s="117"/>
      <x:c r="D248" s="117"/>
      <x:c r="E248" s="117"/>
      <x:c r="F248" s="117"/>
      <x:c r="G248" s="117"/>
      <x:c r="H248" s="117"/>
      <x:c r="I248" s="117"/>
      <x:c r="J248" s="117"/>
      <x:c r="K248" s="117"/>
      <x:c r="L248" s="117"/>
      <x:c r="M248" s="117"/>
      <x:c r="N248" s="117"/>
      <x:c r="O248" s="117"/>
      <x:c r="P248" s="117"/>
      <x:c r="Q248" s="117"/>
      <x:c r="R248" s="117"/>
      <x:c r="S248" s="117"/>
      <x:c r="T248" s="117"/>
      <x:c r="U248" s="117"/>
      <x:c r="V248" s="117"/>
      <x:c r="W248" s="117"/>
      <x:c r="X248" s="117"/>
      <x:c r="Y248" s="117"/>
    </x:row>
    <x:row r="249">
      <x:c r="A249" s="117"/>
      <x:c r="B249" s="117"/>
      <x:c r="C249" s="117"/>
      <x:c r="D249" s="117"/>
      <x:c r="E249" s="117"/>
      <x:c r="F249" s="117"/>
      <x:c r="G249" s="117"/>
      <x:c r="H249" s="117"/>
      <x:c r="I249" s="117"/>
      <x:c r="J249" s="117"/>
      <x:c r="K249" s="117"/>
      <x:c r="L249" s="117"/>
      <x:c r="M249" s="117"/>
      <x:c r="N249" s="117"/>
      <x:c r="O249" s="117"/>
      <x:c r="P249" s="117"/>
      <x:c r="Q249" s="117"/>
      <x:c r="R249" s="117"/>
      <x:c r="S249" s="117"/>
      <x:c r="T249" s="117"/>
      <x:c r="U249" s="117"/>
      <x:c r="V249" s="117"/>
      <x:c r="W249" s="117"/>
      <x:c r="X249" s="117"/>
      <x:c r="Y249" s="117"/>
    </x:row>
    <x:row r="250">
      <x:c r="A250" s="117"/>
      <x:c r="B250" s="117"/>
      <x:c r="C250" s="117"/>
      <x:c r="D250" s="117"/>
      <x:c r="E250" s="117"/>
      <x:c r="F250" s="117"/>
      <x:c r="G250" s="117"/>
      <x:c r="H250" s="117"/>
      <x:c r="I250" s="117"/>
      <x:c r="J250" s="117"/>
      <x:c r="K250" s="117"/>
      <x:c r="L250" s="117"/>
      <x:c r="M250" s="117"/>
      <x:c r="N250" s="117"/>
      <x:c r="O250" s="117"/>
      <x:c r="P250" s="117"/>
      <x:c r="Q250" s="117"/>
      <x:c r="R250" s="117"/>
      <x:c r="S250" s="117"/>
      <x:c r="T250" s="117"/>
      <x:c r="U250" s="117"/>
      <x:c r="V250" s="117"/>
      <x:c r="W250" s="117"/>
      <x:c r="X250" s="117"/>
      <x:c r="Y250" s="117"/>
    </x:row>
  </x:sheetData>
  <x:pageMargins left="0.7" right="0.7" top="0.75" bottom="0.75" header="0.3" footer="0.3"/>
  <x:tableParts count="1">
    <x:tablePart xmlns:r="http://schemas.openxmlformats.org/officeDocument/2006/relationships" r:id="Rc4df96ebbac949a5"/>
  </x:tableParts>
</x:worksheet>
</file>

<file path=xl/worksheets/sheet6.xml><?xml version="1.0" encoding="utf-8"?>
<x:worksheet xmlns:x="http://schemas.openxmlformats.org/spreadsheetml/2006/main">
  <x:sheetFormatPr defaultRowHeight="15"/>
  <x:cols>
    <x:col min="1" max="1" width="18" hidden="0" customWidth="1"/>
    <x:col min="2" max="2" width="22" hidden="0" customWidth="1"/>
    <x:col min="3" max="3" width="44" hidden="0" customWidth="1"/>
    <x:col min="4" max="4" width="49" hidden="0" customWidth="1"/>
    <x:col min="5" max="5" width="4" hidden="0" customWidth="1"/>
    <x:col min="6" max="6" width="28" hidden="0" customWidth="1"/>
    <x:col min="7" max="7" width="45" hidden="0" customWidth="1"/>
  </x:cols>
  <x:sheetData>
    <x:row r="1">
      <x:c r="A1" s="10" t="str">
        <x:v>Asset Criticality Methodology</x:v>
      </x:c>
      <x:c r="B1" s="10"/>
      <x:c r="C1" s="10"/>
      <x:c r="D1" s="10"/>
      <x:c r="E1" s="10"/>
      <x:c r="F1" s="10"/>
      <x:c r="G1" s="10"/>
      <x:c r="H1" s="117"/>
      <x:c r="I1" s="117"/>
      <x:c r="J1" s="117"/>
      <x:c r="K1" s="117"/>
      <x:c r="L1" s="117"/>
      <x:c r="M1" s="117"/>
      <x:c r="N1" s="117"/>
      <x:c r="O1" s="117"/>
      <x:c r="P1" s="117"/>
      <x:c r="Q1" s="117"/>
      <x:c r="R1" s="117"/>
      <x:c r="S1" s="117"/>
      <x:c r="T1" s="117"/>
      <x:c r="U1" s="117"/>
      <x:c r="V1" s="117"/>
      <x:c r="W1" s="117"/>
      <x:c r="X1" s="117"/>
      <x:c r="Y1" s="117"/>
    </x:row>
    <x:row r="2">
      <x:c r="A2" s="10"/>
      <x:c r="B2" s="10"/>
      <x:c r="C2" s="10"/>
      <x:c r="D2" s="10"/>
      <x:c r="E2" s="10"/>
      <x:c r="F2" s="10"/>
      <x:c r="G2" s="10"/>
      <x:c r="H2" s="117"/>
      <x:c r="I2" s="117"/>
      <x:c r="J2" s="117"/>
      <x:c r="K2" s="117"/>
      <x:c r="L2" s="117"/>
      <x:c r="M2" s="117"/>
      <x:c r="N2" s="117"/>
      <x:c r="O2" s="117"/>
      <x:c r="P2" s="117"/>
      <x:c r="Q2" s="117"/>
      <x:c r="R2" s="117"/>
      <x:c r="S2" s="117"/>
      <x:c r="T2" s="117"/>
      <x:c r="U2" s="117"/>
      <x:c r="V2" s="117"/>
      <x:c r="W2" s="117"/>
      <x:c r="X2" s="117"/>
      <x:c r="Y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row>
    <x:row r="4">
      <x:c r="A4" s="123" t="str">
        <x:v>CIA Score</x:v>
      </x:c>
      <x:c r="B4" s="123" t="str">
        <x:v>Meaning</x:v>
      </x:c>
      <x:c r="C4" s="123" t="str">
        <x:v>Example Impact</x:v>
      </x:c>
      <x:c r="D4" s="123" t="str">
        <x:v>Assessment Guidance</x:v>
      </x:c>
      <x:c r="E4" s="117"/>
      <x:c r="F4" s="117"/>
      <x:c r="G4" s="117"/>
      <x:c r="H4" s="117"/>
      <x:c r="I4" s="117"/>
      <x:c r="J4" s="117"/>
      <x:c r="K4" s="117"/>
      <x:c r="L4" s="117"/>
      <x:c r="M4" s="117"/>
      <x:c r="N4" s="117"/>
      <x:c r="O4" s="117"/>
      <x:c r="P4" s="117"/>
      <x:c r="Q4" s="117"/>
      <x:c r="R4" s="117"/>
      <x:c r="S4" s="117"/>
      <x:c r="T4" s="117"/>
      <x:c r="U4" s="117"/>
      <x:c r="V4" s="117"/>
      <x:c r="W4" s="117"/>
      <x:c r="X4" s="117"/>
      <x:c r="Y4" s="117"/>
    </x:row>
    <x:row r="5">
      <x:c r="A5" s="148" t="n">
        <x:v>1</x:v>
      </x:c>
      <x:c r="B5" s="148" t="str">
        <x:v>Minimal</x:v>
      </x:c>
      <x:c r="C5" s="148" t="str">
        <x:v>Little measurable operational or security impact</x:v>
      </x:c>
      <x:c r="D5" s="148" t="str">
        <x:v>Non-sensitive supporting asset; easy workaround</x:v>
      </x:c>
      <x:c r="E5" s="117"/>
      <x:c r="F5" s="117"/>
      <x:c r="G5" s="117"/>
      <x:c r="H5" s="117"/>
      <x:c r="I5" s="117"/>
      <x:c r="J5" s="117"/>
      <x:c r="K5" s="117"/>
      <x:c r="L5" s="117"/>
      <x:c r="M5" s="117"/>
      <x:c r="N5" s="117"/>
      <x:c r="O5" s="117"/>
      <x:c r="P5" s="117"/>
      <x:c r="Q5" s="117"/>
      <x:c r="R5" s="117"/>
      <x:c r="S5" s="117"/>
      <x:c r="T5" s="117"/>
      <x:c r="U5" s="117"/>
      <x:c r="V5" s="117"/>
      <x:c r="W5" s="117"/>
      <x:c r="X5" s="117"/>
      <x:c r="Y5" s="117"/>
    </x:row>
    <x:row r="6">
      <x:c r="A6" s="148" t="n">
        <x:v>2</x:v>
      </x:c>
      <x:c r="B6" s="148" t="str">
        <x:v>Low</x:v>
      </x:c>
      <x:c r="C6" s="148" t="str">
        <x:v>Limited disruption or exposure</x:v>
      </x:c>
      <x:c r="D6" s="148" t="str">
        <x:v>Short-term inconvenience; low-sensitivity information</x:v>
      </x:c>
      <x:c r="E6" s="117"/>
      <x:c r="F6" s="117"/>
      <x:c r="G6" s="117"/>
      <x:c r="H6" s="117"/>
      <x:c r="I6" s="117"/>
      <x:c r="J6" s="117"/>
      <x:c r="K6" s="117"/>
      <x:c r="L6" s="117"/>
      <x:c r="M6" s="117"/>
      <x:c r="N6" s="117"/>
      <x:c r="O6" s="117"/>
      <x:c r="P6" s="117"/>
      <x:c r="Q6" s="117"/>
      <x:c r="R6" s="117"/>
      <x:c r="S6" s="117"/>
      <x:c r="T6" s="117"/>
      <x:c r="U6" s="117"/>
      <x:c r="V6" s="117"/>
      <x:c r="W6" s="117"/>
      <x:c r="X6" s="117"/>
      <x:c r="Y6" s="117"/>
    </x:row>
    <x:row r="7">
      <x:c r="A7" s="148" t="n">
        <x:v>3</x:v>
      </x:c>
      <x:c r="B7" s="148" t="str">
        <x:v>Moderate</x:v>
      </x:c>
      <x:c r="C7" s="148" t="str">
        <x:v>Material but manageable business impact</x:v>
      </x:c>
      <x:c r="D7" s="148" t="str">
        <x:v>Department-level disruption or confidential data exposure</x:v>
      </x:c>
      <x:c r="E7" s="117"/>
      <x:c r="F7" s="117"/>
      <x:c r="G7" s="117"/>
      <x:c r="H7" s="117"/>
      <x:c r="I7" s="117"/>
      <x:c r="J7" s="117"/>
      <x:c r="K7" s="117"/>
      <x:c r="L7" s="117"/>
      <x:c r="M7" s="117"/>
      <x:c r="N7" s="117"/>
      <x:c r="O7" s="117"/>
      <x:c r="P7" s="117"/>
      <x:c r="Q7" s="117"/>
      <x:c r="R7" s="117"/>
      <x:c r="S7" s="117"/>
      <x:c r="T7" s="117"/>
      <x:c r="U7" s="117"/>
      <x:c r="V7" s="117"/>
      <x:c r="W7" s="117"/>
      <x:c r="X7" s="117"/>
      <x:c r="Y7" s="117"/>
    </x:row>
    <x:row r="8">
      <x:c r="A8" s="148" t="n">
        <x:v>4</x:v>
      </x:c>
      <x:c r="B8" s="148" t="str">
        <x:v>High</x:v>
      </x:c>
      <x:c r="C8" s="148" t="str">
        <x:v>Serious operational, financial or security impact</x:v>
      </x:c>
      <x:c r="D8" s="148" t="str">
        <x:v>Major service interruption or highly confidential data exposure</x:v>
      </x:c>
      <x:c r="E8" s="117"/>
      <x:c r="F8" s="117"/>
      <x:c r="G8" s="117"/>
      <x:c r="H8" s="117"/>
      <x:c r="I8" s="117"/>
      <x:c r="J8" s="117"/>
      <x:c r="K8" s="117"/>
      <x:c r="L8" s="117"/>
      <x:c r="M8" s="117"/>
      <x:c r="N8" s="117"/>
      <x:c r="O8" s="117"/>
      <x:c r="P8" s="117"/>
      <x:c r="Q8" s="117"/>
      <x:c r="R8" s="117"/>
      <x:c r="S8" s="117"/>
      <x:c r="T8" s="117"/>
      <x:c r="U8" s="117"/>
      <x:c r="V8" s="117"/>
      <x:c r="W8" s="117"/>
      <x:c r="X8" s="117"/>
      <x:c r="Y8" s="117"/>
    </x:row>
    <x:row r="9">
      <x:c r="A9" s="148" t="n">
        <x:v>5</x:v>
      </x:c>
      <x:c r="B9" s="148" t="str">
        <x:v>Severe / Mission Critical</x:v>
      </x:c>
      <x:c r="C9" s="148" t="str">
        <x:v>Enterprise-wide, regulatory, fraud, safety or prolonged operational impact</x:v>
      </x:c>
      <x:c r="D9" s="148" t="str">
        <x:v>Identity compromise, core financial disruption, broad ransomware impact</x:v>
      </x:c>
      <x:c r="E9" s="117"/>
      <x:c r="F9" s="117"/>
      <x:c r="G9" s="117"/>
      <x:c r="H9" s="117"/>
      <x:c r="I9" s="117"/>
      <x:c r="J9" s="117"/>
      <x:c r="K9" s="117"/>
      <x:c r="L9" s="117"/>
      <x:c r="M9" s="117"/>
      <x:c r="N9" s="117"/>
      <x:c r="O9" s="117"/>
      <x:c r="P9" s="117"/>
      <x:c r="Q9" s="117"/>
      <x:c r="R9" s="117"/>
      <x:c r="S9" s="117"/>
      <x:c r="T9" s="117"/>
      <x:c r="U9" s="117"/>
      <x:c r="V9" s="117"/>
      <x:c r="W9" s="117"/>
      <x:c r="X9" s="117"/>
      <x:c r="Y9" s="117"/>
    </x:row>
    <x:row r="10">
      <x:c r="A10" s="117"/>
      <x:c r="B10" s="117"/>
      <x:c r="C10" s="117"/>
      <x:c r="D10" s="117"/>
      <x:c r="E10" s="117"/>
      <x:c r="F10" s="117"/>
      <x:c r="G10" s="117"/>
      <x:c r="H10" s="117"/>
      <x:c r="I10" s="117"/>
      <x:c r="J10" s="117"/>
      <x:c r="K10" s="117"/>
      <x:c r="L10" s="117"/>
      <x:c r="M10" s="117"/>
      <x:c r="N10" s="117"/>
      <x:c r="O10" s="117"/>
      <x:c r="P10" s="117"/>
      <x:c r="Q10" s="117"/>
      <x:c r="R10" s="117"/>
      <x:c r="S10" s="117"/>
      <x:c r="T10" s="117"/>
      <x:c r="U10" s="117"/>
      <x:c r="V10" s="117"/>
      <x:c r="W10" s="117"/>
      <x:c r="X10" s="117"/>
      <x:c r="Y10" s="117"/>
    </x:row>
    <x:row r="11">
      <x:c r="A11" s="117"/>
      <x:c r="B11" s="117"/>
      <x:c r="C11" s="117"/>
      <x:c r="D11" s="117"/>
      <x:c r="E11" s="117"/>
      <x:c r="F11" s="117"/>
      <x:c r="G11" s="117"/>
      <x:c r="H11" s="117"/>
      <x:c r="I11" s="117"/>
      <x:c r="J11" s="117"/>
      <x:c r="K11" s="117"/>
      <x:c r="L11" s="117"/>
      <x:c r="M11" s="117"/>
      <x:c r="N11" s="117"/>
      <x:c r="O11" s="117"/>
      <x:c r="P11" s="117"/>
      <x:c r="Q11" s="117"/>
      <x:c r="R11" s="117"/>
      <x:c r="S11" s="117"/>
      <x:c r="T11" s="117"/>
      <x:c r="U11" s="117"/>
      <x:c r="V11" s="117"/>
      <x:c r="W11" s="117"/>
      <x:c r="X11" s="117"/>
      <x:c r="Y11" s="117"/>
    </x:row>
    <x:row r="12">
      <x:c r="A12" s="138" t="str">
        <x:v>Criticality Logic</x:v>
      </x:c>
      <x:c r="B12" s="138"/>
      <x:c r="C12" s="138"/>
      <x:c r="D12" s="138"/>
      <x:c r="E12" s="138"/>
      <x:c r="F12" s="138"/>
      <x:c r="G12" s="138"/>
      <x:c r="H12" s="117"/>
      <x:c r="I12" s="117"/>
      <x:c r="J12" s="117"/>
      <x:c r="K12" s="117"/>
      <x:c r="L12" s="117"/>
      <x:c r="M12" s="117"/>
      <x:c r="N12" s="117"/>
      <x:c r="O12" s="117"/>
      <x:c r="P12" s="117"/>
      <x:c r="Q12" s="117"/>
      <x:c r="R12" s="117"/>
      <x:c r="S12" s="117"/>
      <x:c r="T12" s="117"/>
      <x:c r="U12" s="117"/>
      <x:c r="V12" s="117"/>
      <x:c r="W12" s="117"/>
      <x:c r="X12" s="117"/>
      <x:c r="Y12" s="117"/>
    </x:row>
    <x:row r="13">
      <x:c r="A13" s="149" t="str">
        <x:v>For each asset, Confidentiality, Integrity and Availability are scored from 1–5. The Asset Criticality Score is the average of the three CIA values, rounded to one decimal place. This produces a more useful enterprise inventory by distinguishing assets that are severe across all three dimensions from assets that are highly important in only one or two dimensions.
Critical = 4.75–5.0 | High = 4.0–4.74 | Medium = 3.0–3.99 | Low &lt; 3.0.
Asset criticality is not the same as cybersecurity risk. In the next artifact, risk will combine threat/vulnerability likelihood, business impact, control strength and asset/service exposure.</x:v>
      </x:c>
      <x:c r="B13" s="149"/>
      <x:c r="C13" s="149"/>
      <x:c r="D13" s="149"/>
      <x:c r="E13" s="149"/>
      <x:c r="F13" s="149"/>
      <x:c r="G13" s="149"/>
      <x:c r="H13" s="117"/>
      <x:c r="I13" s="117"/>
      <x:c r="J13" s="117"/>
      <x:c r="K13" s="117"/>
      <x:c r="L13" s="117"/>
      <x:c r="M13" s="117"/>
      <x:c r="N13" s="117"/>
      <x:c r="O13" s="117"/>
      <x:c r="P13" s="117"/>
      <x:c r="Q13" s="117"/>
      <x:c r="R13" s="117"/>
      <x:c r="S13" s="117"/>
      <x:c r="T13" s="117"/>
      <x:c r="U13" s="117"/>
      <x:c r="V13" s="117"/>
      <x:c r="W13" s="117"/>
      <x:c r="X13" s="117"/>
      <x:c r="Y13" s="117"/>
    </x:row>
    <x:row r="14">
      <x:c r="A14" s="149"/>
      <x:c r="B14" s="149"/>
      <x:c r="C14" s="149"/>
      <x:c r="D14" s="149"/>
      <x:c r="E14" s="149"/>
      <x:c r="F14" s="149"/>
      <x:c r="G14" s="149"/>
      <x:c r="H14" s="117"/>
      <x:c r="I14" s="117"/>
      <x:c r="J14" s="117"/>
      <x:c r="K14" s="117"/>
      <x:c r="L14" s="117"/>
      <x:c r="M14" s="117"/>
      <x:c r="N14" s="117"/>
      <x:c r="O14" s="117"/>
      <x:c r="P14" s="117"/>
      <x:c r="Q14" s="117"/>
      <x:c r="R14" s="117"/>
      <x:c r="S14" s="117"/>
      <x:c r="T14" s="117"/>
      <x:c r="U14" s="117"/>
      <x:c r="V14" s="117"/>
      <x:c r="W14" s="117"/>
      <x:c r="X14" s="117"/>
      <x:c r="Y14" s="117"/>
    </x:row>
    <x:row r="15">
      <x:c r="A15" s="149"/>
      <x:c r="B15" s="149"/>
      <x:c r="C15" s="149"/>
      <x:c r="D15" s="149"/>
      <x:c r="E15" s="149"/>
      <x:c r="F15" s="149"/>
      <x:c r="G15" s="149"/>
      <x:c r="H15" s="117"/>
      <x:c r="I15" s="117"/>
      <x:c r="J15" s="117"/>
      <x:c r="K15" s="117"/>
      <x:c r="L15" s="117"/>
      <x:c r="M15" s="117"/>
      <x:c r="N15" s="117"/>
      <x:c r="O15" s="117"/>
      <x:c r="P15" s="117"/>
      <x:c r="Q15" s="117"/>
      <x:c r="R15" s="117"/>
      <x:c r="S15" s="117"/>
      <x:c r="T15" s="117"/>
      <x:c r="U15" s="117"/>
      <x:c r="V15" s="117"/>
      <x:c r="W15" s="117"/>
      <x:c r="X15" s="117"/>
      <x:c r="Y15" s="117"/>
    </x:row>
    <x:row r="16">
      <x:c r="A16" s="149"/>
      <x:c r="B16" s="149"/>
      <x:c r="C16" s="149"/>
      <x:c r="D16" s="149"/>
      <x:c r="E16" s="149"/>
      <x:c r="F16" s="149"/>
      <x:c r="G16" s="149"/>
      <x:c r="H16" s="117"/>
      <x:c r="I16" s="117"/>
      <x:c r="J16" s="117"/>
      <x:c r="K16" s="117"/>
      <x:c r="L16" s="117"/>
      <x:c r="M16" s="117"/>
      <x:c r="N16" s="117"/>
      <x:c r="O16" s="117"/>
      <x:c r="P16" s="117"/>
      <x:c r="Q16" s="117"/>
      <x:c r="R16" s="117"/>
      <x:c r="S16" s="117"/>
      <x:c r="T16" s="117"/>
      <x:c r="U16" s="117"/>
      <x:c r="V16" s="117"/>
      <x:c r="W16" s="117"/>
      <x:c r="X16" s="117"/>
      <x:c r="Y16" s="117"/>
    </x:row>
    <x:row r="17">
      <x:c r="A17" s="149"/>
      <x:c r="B17" s="149"/>
      <x:c r="C17" s="149"/>
      <x:c r="D17" s="149"/>
      <x:c r="E17" s="149"/>
      <x:c r="F17" s="149"/>
      <x:c r="G17" s="149"/>
      <x:c r="H17" s="117"/>
      <x:c r="I17" s="117"/>
      <x:c r="J17" s="117"/>
      <x:c r="K17" s="117"/>
      <x:c r="L17" s="117"/>
      <x:c r="M17" s="117"/>
      <x:c r="N17" s="117"/>
      <x:c r="O17" s="117"/>
      <x:c r="P17" s="117"/>
      <x:c r="Q17" s="117"/>
      <x:c r="R17" s="117"/>
      <x:c r="S17" s="117"/>
      <x:c r="T17" s="117"/>
      <x:c r="U17" s="117"/>
      <x:c r="V17" s="117"/>
      <x:c r="W17" s="117"/>
      <x:c r="X17" s="117"/>
      <x:c r="Y17" s="117"/>
    </x:row>
    <x:row r="18">
      <x:c r="A18" s="149"/>
      <x:c r="B18" s="149"/>
      <x:c r="C18" s="149"/>
      <x:c r="D18" s="149"/>
      <x:c r="E18" s="149"/>
      <x:c r="F18" s="149"/>
      <x:c r="G18" s="149"/>
      <x:c r="H18" s="117"/>
      <x:c r="I18" s="117"/>
      <x:c r="J18" s="117"/>
      <x:c r="K18" s="117"/>
      <x:c r="L18" s="117"/>
      <x:c r="M18" s="117"/>
      <x:c r="N18" s="117"/>
      <x:c r="O18" s="117"/>
      <x:c r="P18" s="117"/>
      <x:c r="Q18" s="117"/>
      <x:c r="R18" s="117"/>
      <x:c r="S18" s="117"/>
      <x:c r="T18" s="117"/>
      <x:c r="U18" s="117"/>
      <x:c r="V18" s="117"/>
      <x:c r="W18" s="117"/>
      <x:c r="X18" s="117"/>
      <x:c r="Y18" s="117"/>
    </x:row>
    <x:row r="19">
      <x:c r="A19" s="117"/>
      <x:c r="B19" s="117"/>
      <x:c r="C19" s="117"/>
      <x:c r="D19" s="117"/>
      <x:c r="E19" s="117"/>
      <x:c r="F19" s="117"/>
      <x:c r="G19" s="117"/>
      <x:c r="H19" s="117"/>
      <x:c r="I19" s="117"/>
      <x:c r="J19" s="117"/>
      <x:c r="K19" s="117"/>
      <x:c r="L19" s="117"/>
      <x:c r="M19" s="117"/>
      <x:c r="N19" s="117"/>
      <x:c r="O19" s="117"/>
      <x:c r="P19" s="117"/>
      <x:c r="Q19" s="117"/>
      <x:c r="R19" s="117"/>
      <x:c r="S19" s="117"/>
      <x:c r="T19" s="117"/>
      <x:c r="U19" s="117"/>
      <x:c r="V19" s="117"/>
      <x:c r="W19" s="117"/>
      <x:c r="X19" s="117"/>
      <x:c r="Y19" s="117"/>
    </x:row>
    <x:row r="20">
      <x:c r="A20" s="117"/>
      <x:c r="B20" s="117"/>
      <x:c r="C20" s="117"/>
      <x:c r="D20" s="117"/>
      <x:c r="E20" s="117"/>
      <x:c r="F20" s="117"/>
      <x:c r="G20" s="117"/>
      <x:c r="H20" s="117"/>
      <x:c r="I20" s="117"/>
      <x:c r="J20" s="117"/>
      <x:c r="K20" s="117"/>
      <x:c r="L20" s="117"/>
      <x:c r="M20" s="117"/>
      <x:c r="N20" s="117"/>
      <x:c r="O20" s="117"/>
      <x:c r="P20" s="117"/>
      <x:c r="Q20" s="117"/>
      <x:c r="R20" s="117"/>
      <x:c r="S20" s="117"/>
      <x:c r="T20" s="117"/>
      <x:c r="U20" s="117"/>
      <x:c r="V20" s="117"/>
      <x:c r="W20" s="117"/>
      <x:c r="X20" s="117"/>
      <x:c r="Y20" s="117"/>
    </x:row>
    <x:row r="21">
      <x:c r="A21" s="138" t="str">
        <x:v>Project Assumptions</x:v>
      </x:c>
      <x:c r="B21" s="138"/>
      <x:c r="C21" s="138"/>
      <x:c r="D21" s="138"/>
      <x:c r="E21" s="138"/>
      <x:c r="F21" s="138"/>
      <x:c r="G21" s="138"/>
      <x:c r="H21" s="117"/>
      <x:c r="I21" s="117"/>
      <x:c r="J21" s="117"/>
      <x:c r="K21" s="117"/>
      <x:c r="L21" s="117"/>
      <x:c r="M21" s="117"/>
      <x:c r="N21" s="117"/>
      <x:c r="O21" s="117"/>
      <x:c r="P21" s="117"/>
      <x:c r="Q21" s="117"/>
      <x:c r="R21" s="117"/>
      <x:c r="S21" s="117"/>
      <x:c r="T21" s="117"/>
      <x:c r="U21" s="117"/>
      <x:c r="V21" s="117"/>
      <x:c r="W21" s="117"/>
      <x:c r="X21" s="117"/>
      <x:c r="Y21" s="117"/>
    </x:row>
    <x:row r="22">
      <x:c r="A22" s="149" t="str">
        <x:v>• This is a fictional professional portfolio scenario; no real company infrastructure or confidential information is represented.
• Asset names, vendors, locations, security observations, RTO/RPO values and control maturity are simulated.
• The environment is intentionally realistic but imperfect so later risk analysis can demonstrate prioritization and remediation decisions.
• NIST CSF 2.0 will be the primary cybersecurity risk/control framework for the project, with ISO/IEC 27001:2022 used as a supporting control crosswalk.
• The inventory is intended to be a living governance artifact and should be reviewed after major technology, ownership or business changes.</x:v>
      </x:c>
      <x:c r="B22" s="149"/>
      <x:c r="C22" s="149"/>
      <x:c r="D22" s="149"/>
      <x:c r="E22" s="149"/>
      <x:c r="F22" s="149"/>
      <x:c r="G22" s="149"/>
      <x:c r="H22" s="117"/>
      <x:c r="I22" s="117"/>
      <x:c r="J22" s="117"/>
      <x:c r="K22" s="117"/>
      <x:c r="L22" s="117"/>
      <x:c r="M22" s="117"/>
      <x:c r="N22" s="117"/>
      <x:c r="O22" s="117"/>
      <x:c r="P22" s="117"/>
      <x:c r="Q22" s="117"/>
      <x:c r="R22" s="117"/>
      <x:c r="S22" s="117"/>
      <x:c r="T22" s="117"/>
      <x:c r="U22" s="117"/>
      <x:c r="V22" s="117"/>
      <x:c r="W22" s="117"/>
      <x:c r="X22" s="117"/>
      <x:c r="Y22" s="117"/>
    </x:row>
    <x:row r="23">
      <x:c r="A23" s="149"/>
      <x:c r="B23" s="149"/>
      <x:c r="C23" s="149"/>
      <x:c r="D23" s="149"/>
      <x:c r="E23" s="149"/>
      <x:c r="F23" s="149"/>
      <x:c r="G23" s="149"/>
      <x:c r="H23" s="117"/>
      <x:c r="I23" s="117"/>
      <x:c r="J23" s="117"/>
      <x:c r="K23" s="117"/>
      <x:c r="L23" s="117"/>
      <x:c r="M23" s="117"/>
      <x:c r="N23" s="117"/>
      <x:c r="O23" s="117"/>
      <x:c r="P23" s="117"/>
      <x:c r="Q23" s="117"/>
      <x:c r="R23" s="117"/>
      <x:c r="S23" s="117"/>
      <x:c r="T23" s="117"/>
      <x:c r="U23" s="117"/>
      <x:c r="V23" s="117"/>
      <x:c r="W23" s="117"/>
      <x:c r="X23" s="117"/>
      <x:c r="Y23" s="117"/>
    </x:row>
    <x:row r="24">
      <x:c r="A24" s="149"/>
      <x:c r="B24" s="149"/>
      <x:c r="C24" s="149"/>
      <x:c r="D24" s="149"/>
      <x:c r="E24" s="149"/>
      <x:c r="F24" s="149"/>
      <x:c r="G24" s="149"/>
      <x:c r="H24" s="117"/>
      <x:c r="I24" s="117"/>
      <x:c r="J24" s="117"/>
      <x:c r="K24" s="117"/>
      <x:c r="L24" s="117"/>
      <x:c r="M24" s="117"/>
      <x:c r="N24" s="117"/>
      <x:c r="O24" s="117"/>
      <x:c r="P24" s="117"/>
      <x:c r="Q24" s="117"/>
      <x:c r="R24" s="117"/>
      <x:c r="S24" s="117"/>
      <x:c r="T24" s="117"/>
      <x:c r="U24" s="117"/>
      <x:c r="V24" s="117"/>
      <x:c r="W24" s="117"/>
      <x:c r="X24" s="117"/>
      <x:c r="Y24" s="117"/>
    </x:row>
    <x:row r="25">
      <x:c r="A25" s="149"/>
      <x:c r="B25" s="149"/>
      <x:c r="C25" s="149"/>
      <x:c r="D25" s="149"/>
      <x:c r="E25" s="149"/>
      <x:c r="F25" s="149"/>
      <x:c r="G25" s="149"/>
      <x:c r="H25" s="117"/>
      <x:c r="I25" s="117"/>
      <x:c r="J25" s="117"/>
      <x:c r="K25" s="117"/>
      <x:c r="L25" s="117"/>
      <x:c r="M25" s="117"/>
      <x:c r="N25" s="117"/>
      <x:c r="O25" s="117"/>
      <x:c r="P25" s="117"/>
      <x:c r="Q25" s="117"/>
      <x:c r="R25" s="117"/>
      <x:c r="S25" s="117"/>
      <x:c r="T25" s="117"/>
      <x:c r="U25" s="117"/>
      <x:c r="V25" s="117"/>
      <x:c r="W25" s="117"/>
      <x:c r="X25" s="117"/>
      <x:c r="Y25" s="117"/>
    </x:row>
    <x:row r="26">
      <x:c r="A26" s="149"/>
      <x:c r="B26" s="149"/>
      <x:c r="C26" s="149"/>
      <x:c r="D26" s="149"/>
      <x:c r="E26" s="149"/>
      <x:c r="F26" s="149"/>
      <x:c r="G26" s="149"/>
      <x:c r="H26" s="117"/>
      <x:c r="I26" s="117"/>
      <x:c r="J26" s="117"/>
      <x:c r="K26" s="117"/>
      <x:c r="L26" s="117"/>
      <x:c r="M26" s="117"/>
      <x:c r="N26" s="117"/>
      <x:c r="O26" s="117"/>
      <x:c r="P26" s="117"/>
      <x:c r="Q26" s="117"/>
      <x:c r="R26" s="117"/>
      <x:c r="S26" s="117"/>
      <x:c r="T26" s="117"/>
      <x:c r="U26" s="117"/>
      <x:c r="V26" s="117"/>
      <x:c r="W26" s="117"/>
      <x:c r="X26" s="117"/>
      <x:c r="Y26" s="117"/>
    </x:row>
    <x:row r="27">
      <x:c r="A27" s="149"/>
      <x:c r="B27" s="149"/>
      <x:c r="C27" s="149"/>
      <x:c r="D27" s="149"/>
      <x:c r="E27" s="149"/>
      <x:c r="F27" s="149"/>
      <x:c r="G27" s="149"/>
      <x:c r="H27" s="117"/>
      <x:c r="I27" s="117"/>
      <x:c r="J27" s="117"/>
      <x:c r="K27" s="117"/>
      <x:c r="L27" s="117"/>
      <x:c r="M27" s="117"/>
      <x:c r="N27" s="117"/>
      <x:c r="O27" s="117"/>
      <x:c r="P27" s="117"/>
      <x:c r="Q27" s="117"/>
      <x:c r="R27" s="117"/>
      <x:c r="S27" s="117"/>
      <x:c r="T27" s="117"/>
      <x:c r="U27" s="117"/>
      <x:c r="V27" s="117"/>
      <x:c r="W27" s="117"/>
      <x:c r="X27" s="117"/>
      <x:c r="Y27" s="117"/>
    </x:row>
    <x:row r="28">
      <x:c r="A28" s="149"/>
      <x:c r="B28" s="149"/>
      <x:c r="C28" s="149"/>
      <x:c r="D28" s="149"/>
      <x:c r="E28" s="149"/>
      <x:c r="F28" s="149"/>
      <x:c r="G28" s="149"/>
      <x:c r="H28" s="117"/>
      <x:c r="I28" s="117"/>
      <x:c r="J28" s="117"/>
      <x:c r="K28" s="117"/>
      <x:c r="L28" s="117"/>
      <x:c r="M28" s="117"/>
      <x:c r="N28" s="117"/>
      <x:c r="O28" s="117"/>
      <x:c r="P28" s="117"/>
      <x:c r="Q28" s="117"/>
      <x:c r="R28" s="117"/>
      <x:c r="S28" s="117"/>
      <x:c r="T28" s="117"/>
      <x:c r="U28" s="117"/>
      <x:c r="V28" s="117"/>
      <x:c r="W28" s="117"/>
      <x:c r="X28" s="117"/>
      <x:c r="Y28" s="117"/>
    </x:row>
    <x:row r="29">
      <x:c r="A29" s="117"/>
      <x:c r="B29" s="117"/>
      <x:c r="C29" s="117"/>
      <x:c r="D29" s="117"/>
      <x:c r="E29" s="117"/>
      <x:c r="F29" s="117"/>
      <x:c r="G29" s="117"/>
      <x:c r="H29" s="117"/>
      <x:c r="I29" s="117"/>
      <x:c r="J29" s="117"/>
      <x:c r="K29" s="117"/>
      <x:c r="L29" s="117"/>
      <x:c r="M29" s="117"/>
      <x:c r="N29" s="117"/>
      <x:c r="O29" s="117"/>
      <x:c r="P29" s="117"/>
      <x:c r="Q29" s="117"/>
      <x:c r="R29" s="117"/>
      <x:c r="S29" s="117"/>
      <x:c r="T29" s="117"/>
      <x:c r="U29" s="117"/>
      <x:c r="V29" s="117"/>
      <x:c r="W29" s="117"/>
      <x:c r="X29" s="117"/>
      <x:c r="Y29" s="117"/>
    </x:row>
    <x:row r="30">
      <x:c r="A30" s="117"/>
      <x:c r="B30" s="117"/>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row>
    <x:row r="31">
      <x:c r="A31" s="117"/>
      <x:c r="B31" s="117"/>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row>
    <x:row r="32">
      <x:c r="A32" s="117"/>
      <x:c r="B32" s="117"/>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row>
    <x:row r="33">
      <x:c r="A33" s="117"/>
      <x:c r="B33" s="117"/>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row>
    <x:row r="34">
      <x:c r="A34" s="117"/>
      <x:c r="B34" s="117"/>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row>
    <x:row r="35">
      <x:c r="A35" s="117"/>
      <x:c r="B35" s="117"/>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row>
    <x:row r="101">
      <x:c r="A101" s="117"/>
      <x:c r="B101" s="117"/>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row>
    <x:row r="102">
      <x:c r="A102" s="117"/>
      <x:c r="B102" s="117"/>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row>
    <x:row r="103">
      <x:c r="A103" s="117"/>
      <x:c r="B103" s="117"/>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row>
    <x:row r="104">
      <x:c r="A104" s="117"/>
      <x:c r="B104" s="117"/>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row>
    <x:row r="105">
      <x:c r="A105" s="117"/>
      <x:c r="B105" s="117"/>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row>
    <x:row r="106">
      <x:c r="A106" s="117"/>
      <x:c r="B106" s="117"/>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row>
    <x:row r="107">
      <x:c r="A107" s="117"/>
      <x:c r="B107" s="117"/>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row>
    <x:row r="201">
      <x:c r="A201" s="117"/>
      <x:c r="B201" s="117"/>
      <x:c r="C201" s="117"/>
      <x:c r="D201" s="117"/>
      <x:c r="E201" s="117"/>
      <x:c r="F201" s="117"/>
      <x:c r="G201" s="117"/>
      <x:c r="H201" s="117"/>
      <x:c r="I201" s="117"/>
      <x:c r="J201" s="117"/>
      <x:c r="K201" s="117"/>
      <x:c r="L201" s="117"/>
      <x:c r="M201" s="117"/>
      <x:c r="N201" s="117"/>
      <x:c r="O201" s="117"/>
      <x:c r="P201" s="117"/>
      <x:c r="Q201" s="117"/>
      <x:c r="R201" s="117"/>
      <x:c r="S201" s="117"/>
      <x:c r="T201" s="117"/>
      <x:c r="U201" s="117"/>
      <x:c r="V201" s="117"/>
      <x:c r="W201" s="117"/>
      <x:c r="X201" s="117"/>
      <x:c r="Y201" s="117"/>
    </x:row>
    <x:row r="202">
      <x:c r="A202" s="117"/>
      <x:c r="B202" s="117"/>
      <x:c r="C202" s="117"/>
      <x:c r="D202" s="117"/>
      <x:c r="E202" s="117"/>
      <x:c r="F202" s="117"/>
      <x:c r="G202" s="117"/>
      <x:c r="H202" s="117"/>
      <x:c r="I202" s="117"/>
      <x:c r="J202" s="117"/>
      <x:c r="K202" s="117"/>
      <x:c r="L202" s="117"/>
      <x:c r="M202" s="117"/>
      <x:c r="N202" s="117"/>
      <x:c r="O202" s="117"/>
      <x:c r="P202" s="117"/>
      <x:c r="Q202" s="117"/>
      <x:c r="R202" s="117"/>
      <x:c r="S202" s="117"/>
      <x:c r="T202" s="117"/>
      <x:c r="U202" s="117"/>
      <x:c r="V202" s="117"/>
      <x:c r="W202" s="117"/>
      <x:c r="X202" s="117"/>
      <x:c r="Y202" s="117"/>
    </x:row>
    <x:row r="203">
      <x:c r="A203" s="117"/>
      <x:c r="B203" s="117"/>
      <x:c r="C203" s="117"/>
      <x:c r="D203" s="117"/>
      <x:c r="E203" s="117"/>
      <x:c r="F203" s="117"/>
      <x:c r="G203" s="117"/>
      <x:c r="H203" s="117"/>
      <x:c r="I203" s="117"/>
      <x:c r="J203" s="117"/>
      <x:c r="K203" s="117"/>
      <x:c r="L203" s="117"/>
      <x:c r="M203" s="117"/>
      <x:c r="N203" s="117"/>
      <x:c r="O203" s="117"/>
      <x:c r="P203" s="117"/>
      <x:c r="Q203" s="117"/>
      <x:c r="R203" s="117"/>
      <x:c r="S203" s="117"/>
      <x:c r="T203" s="117"/>
      <x:c r="U203" s="117"/>
      <x:c r="V203" s="117"/>
      <x:c r="W203" s="117"/>
      <x:c r="X203" s="117"/>
      <x:c r="Y203" s="117"/>
    </x:row>
    <x:row r="204">
      <x:c r="A204" s="117"/>
      <x:c r="B204" s="117"/>
      <x:c r="C204" s="117"/>
      <x:c r="D204" s="117"/>
      <x:c r="E204" s="117"/>
      <x:c r="F204" s="117"/>
      <x:c r="G204" s="117"/>
      <x:c r="H204" s="117"/>
      <x:c r="I204" s="117"/>
      <x:c r="J204" s="117"/>
      <x:c r="K204" s="117"/>
      <x:c r="L204" s="117"/>
      <x:c r="M204" s="117"/>
      <x:c r="N204" s="117"/>
      <x:c r="O204" s="117"/>
      <x:c r="P204" s="117"/>
      <x:c r="Q204" s="117"/>
      <x:c r="R204" s="117"/>
      <x:c r="S204" s="117"/>
      <x:c r="T204" s="117"/>
      <x:c r="U204" s="117"/>
      <x:c r="V204" s="117"/>
      <x:c r="W204" s="117"/>
      <x:c r="X204" s="117"/>
      <x:c r="Y204" s="117"/>
    </x:row>
    <x:row r="205">
      <x:c r="A205" s="117"/>
      <x:c r="B205" s="117"/>
      <x:c r="C205" s="117"/>
      <x:c r="D205" s="117"/>
      <x:c r="E205" s="117"/>
      <x:c r="F205" s="117"/>
      <x:c r="G205" s="117"/>
      <x:c r="H205" s="117"/>
      <x:c r="I205" s="117"/>
      <x:c r="J205" s="117"/>
      <x:c r="K205" s="117"/>
      <x:c r="L205" s="117"/>
      <x:c r="M205" s="117"/>
      <x:c r="N205" s="117"/>
      <x:c r="O205" s="117"/>
      <x:c r="P205" s="117"/>
      <x:c r="Q205" s="117"/>
      <x:c r="R205" s="117"/>
      <x:c r="S205" s="117"/>
      <x:c r="T205" s="117"/>
      <x:c r="U205" s="117"/>
      <x:c r="V205" s="117"/>
      <x:c r="W205" s="117"/>
      <x:c r="X205" s="117"/>
      <x:c r="Y205" s="117"/>
    </x:row>
    <x:row r="206">
      <x:c r="A206" s="117"/>
      <x:c r="B206" s="117"/>
      <x:c r="C206" s="117"/>
      <x:c r="D206" s="117"/>
      <x:c r="E206" s="117"/>
      <x:c r="F206" s="117"/>
      <x:c r="G206" s="117"/>
      <x:c r="H206" s="117"/>
      <x:c r="I206" s="117"/>
      <x:c r="J206" s="117"/>
      <x:c r="K206" s="117"/>
      <x:c r="L206" s="117"/>
      <x:c r="M206" s="117"/>
      <x:c r="N206" s="117"/>
      <x:c r="O206" s="117"/>
      <x:c r="P206" s="117"/>
      <x:c r="Q206" s="117"/>
      <x:c r="R206" s="117"/>
      <x:c r="S206" s="117"/>
      <x:c r="T206" s="117"/>
      <x:c r="U206" s="117"/>
      <x:c r="V206" s="117"/>
      <x:c r="W206" s="117"/>
      <x:c r="X206" s="117"/>
      <x:c r="Y206" s="117"/>
    </x:row>
    <x:row r="207">
      <x:c r="A207" s="117"/>
      <x:c r="B207" s="117"/>
      <x:c r="C207" s="117"/>
      <x:c r="D207" s="117"/>
      <x:c r="E207" s="117"/>
      <x:c r="F207" s="117"/>
      <x:c r="G207" s="117"/>
      <x:c r="H207" s="117"/>
      <x:c r="I207" s="117"/>
      <x:c r="J207" s="117"/>
      <x:c r="K207" s="117"/>
      <x:c r="L207" s="117"/>
      <x:c r="M207" s="117"/>
      <x:c r="N207" s="117"/>
      <x:c r="O207" s="117"/>
      <x:c r="P207" s="117"/>
      <x:c r="Q207" s="117"/>
      <x:c r="R207" s="117"/>
      <x:c r="S207" s="117"/>
      <x:c r="T207" s="117"/>
      <x:c r="U207" s="117"/>
      <x:c r="V207" s="117"/>
      <x:c r="W207" s="117"/>
      <x:c r="X207" s="117"/>
      <x:c r="Y207" s="117"/>
    </x:row>
    <x:row r="208">
      <x:c r="A208" s="117"/>
      <x:c r="B208" s="117"/>
      <x:c r="C208" s="117"/>
      <x:c r="D208" s="117"/>
      <x:c r="E208" s="117"/>
      <x:c r="F208" s="117"/>
      <x:c r="G208" s="117"/>
      <x:c r="H208" s="117"/>
      <x:c r="I208" s="117"/>
      <x:c r="J208" s="117"/>
      <x:c r="K208" s="117"/>
      <x:c r="L208" s="117"/>
      <x:c r="M208" s="117"/>
      <x:c r="N208" s="117"/>
      <x:c r="O208" s="117"/>
      <x:c r="P208" s="117"/>
      <x:c r="Q208" s="117"/>
      <x:c r="R208" s="117"/>
      <x:c r="S208" s="117"/>
      <x:c r="T208" s="117"/>
      <x:c r="U208" s="117"/>
      <x:c r="V208" s="117"/>
      <x:c r="W208" s="117"/>
      <x:c r="X208" s="117"/>
      <x:c r="Y208" s="117"/>
    </x:row>
    <x:row r="209">
      <x:c r="A209" s="117"/>
      <x:c r="B209" s="117"/>
      <x:c r="C209" s="117"/>
      <x:c r="D209" s="117"/>
      <x:c r="E209" s="117"/>
      <x:c r="F209" s="117"/>
      <x:c r="G209" s="117"/>
      <x:c r="H209" s="117"/>
      <x:c r="I209" s="117"/>
      <x:c r="J209" s="117"/>
      <x:c r="K209" s="117"/>
      <x:c r="L209" s="117"/>
      <x:c r="M209" s="117"/>
      <x:c r="N209" s="117"/>
      <x:c r="O209" s="117"/>
      <x:c r="P209" s="117"/>
      <x:c r="Q209" s="117"/>
      <x:c r="R209" s="117"/>
      <x:c r="S209" s="117"/>
      <x:c r="T209" s="117"/>
      <x:c r="U209" s="117"/>
      <x:c r="V209" s="117"/>
      <x:c r="W209" s="117"/>
      <x:c r="X209" s="117"/>
      <x:c r="Y209" s="117"/>
    </x:row>
    <x:row r="210">
      <x:c r="A210" s="117"/>
      <x:c r="B210" s="117"/>
      <x:c r="C210" s="117"/>
      <x:c r="D210" s="117"/>
      <x:c r="E210" s="117"/>
      <x:c r="F210" s="117"/>
      <x:c r="G210" s="117"/>
      <x:c r="H210" s="117"/>
      <x:c r="I210" s="117"/>
      <x:c r="J210" s="117"/>
      <x:c r="K210" s="117"/>
      <x:c r="L210" s="117"/>
      <x:c r="M210" s="117"/>
      <x:c r="N210" s="117"/>
      <x:c r="O210" s="117"/>
      <x:c r="P210" s="117"/>
      <x:c r="Q210" s="117"/>
      <x:c r="R210" s="117"/>
      <x:c r="S210" s="117"/>
      <x:c r="T210" s="117"/>
      <x:c r="U210" s="117"/>
      <x:c r="V210" s="117"/>
      <x:c r="W210" s="117"/>
      <x:c r="X210" s="117"/>
      <x:c r="Y210" s="117"/>
    </x:row>
    <x:row r="211">
      <x:c r="A211" s="117"/>
      <x:c r="B211" s="117"/>
      <x:c r="C211" s="117"/>
      <x:c r="D211" s="117"/>
      <x:c r="E211" s="117"/>
      <x:c r="F211" s="117"/>
      <x:c r="G211" s="117"/>
      <x:c r="H211" s="117"/>
      <x:c r="I211" s="117"/>
      <x:c r="J211" s="117"/>
      <x:c r="K211" s="117"/>
      <x:c r="L211" s="117"/>
      <x:c r="M211" s="117"/>
      <x:c r="N211" s="117"/>
      <x:c r="O211" s="117"/>
      <x:c r="P211" s="117"/>
      <x:c r="Q211" s="117"/>
      <x:c r="R211" s="117"/>
      <x:c r="S211" s="117"/>
      <x:c r="T211" s="117"/>
      <x:c r="U211" s="117"/>
      <x:c r="V211" s="117"/>
      <x:c r="W211" s="117"/>
      <x:c r="X211" s="117"/>
      <x:c r="Y211" s="117"/>
    </x:row>
    <x:row r="212">
      <x:c r="A212" s="117"/>
      <x:c r="B212" s="117"/>
      <x:c r="C212" s="117"/>
      <x:c r="D212" s="117"/>
      <x:c r="E212" s="117"/>
      <x:c r="F212" s="117"/>
      <x:c r="G212" s="117"/>
      <x:c r="H212" s="117"/>
      <x:c r="I212" s="117"/>
      <x:c r="J212" s="117"/>
      <x:c r="K212" s="117"/>
      <x:c r="L212" s="117"/>
      <x:c r="M212" s="117"/>
      <x:c r="N212" s="117"/>
      <x:c r="O212" s="117"/>
      <x:c r="P212" s="117"/>
      <x:c r="Q212" s="117"/>
      <x:c r="R212" s="117"/>
      <x:c r="S212" s="117"/>
      <x:c r="T212" s="117"/>
      <x:c r="U212" s="117"/>
      <x:c r="V212" s="117"/>
      <x:c r="W212" s="117"/>
      <x:c r="X212" s="117"/>
      <x:c r="Y212" s="117"/>
    </x:row>
    <x:row r="213">
      <x:c r="A213" s="117"/>
      <x:c r="B213" s="117"/>
      <x:c r="C213" s="117"/>
      <x:c r="D213" s="117"/>
      <x:c r="E213" s="117"/>
      <x:c r="F213" s="117"/>
      <x:c r="G213" s="117"/>
      <x:c r="H213" s="117"/>
      <x:c r="I213" s="117"/>
      <x:c r="J213" s="117"/>
      <x:c r="K213" s="117"/>
      <x:c r="L213" s="117"/>
      <x:c r="M213" s="117"/>
      <x:c r="N213" s="117"/>
      <x:c r="O213" s="117"/>
      <x:c r="P213" s="117"/>
      <x:c r="Q213" s="117"/>
      <x:c r="R213" s="117"/>
      <x:c r="S213" s="117"/>
      <x:c r="T213" s="117"/>
      <x:c r="U213" s="117"/>
      <x:c r="V213" s="117"/>
      <x:c r="W213" s="117"/>
      <x:c r="X213" s="117"/>
      <x:c r="Y213" s="117"/>
    </x:row>
    <x:row r="214">
      <x:c r="A214" s="117"/>
      <x:c r="B214" s="117"/>
      <x:c r="C214" s="117"/>
      <x:c r="D214" s="117"/>
      <x:c r="E214" s="117"/>
      <x:c r="F214" s="117"/>
      <x:c r="G214" s="117"/>
      <x:c r="H214" s="117"/>
      <x:c r="I214" s="117"/>
      <x:c r="J214" s="117"/>
      <x:c r="K214" s="117"/>
      <x:c r="L214" s="117"/>
      <x:c r="M214" s="117"/>
      <x:c r="N214" s="117"/>
      <x:c r="O214" s="117"/>
      <x:c r="P214" s="117"/>
      <x:c r="Q214" s="117"/>
      <x:c r="R214" s="117"/>
      <x:c r="S214" s="117"/>
      <x:c r="T214" s="117"/>
      <x:c r="U214" s="117"/>
      <x:c r="V214" s="117"/>
      <x:c r="W214" s="117"/>
      <x:c r="X214" s="117"/>
      <x:c r="Y214" s="117"/>
    </x:row>
    <x:row r="215">
      <x:c r="A215" s="117"/>
      <x:c r="B215" s="117"/>
      <x:c r="C215" s="117"/>
      <x:c r="D215" s="117"/>
      <x:c r="E215" s="117"/>
      <x:c r="F215" s="117"/>
      <x:c r="G215" s="117"/>
      <x:c r="H215" s="117"/>
      <x:c r="I215" s="117"/>
      <x:c r="J215" s="117"/>
      <x:c r="K215" s="117"/>
      <x:c r="L215" s="117"/>
      <x:c r="M215" s="117"/>
      <x:c r="N215" s="117"/>
      <x:c r="O215" s="117"/>
      <x:c r="P215" s="117"/>
      <x:c r="Q215" s="117"/>
      <x:c r="R215" s="117"/>
      <x:c r="S215" s="117"/>
      <x:c r="T215" s="117"/>
      <x:c r="U215" s="117"/>
      <x:c r="V215" s="117"/>
      <x:c r="W215" s="117"/>
      <x:c r="X215" s="117"/>
      <x:c r="Y215" s="117"/>
    </x:row>
    <x:row r="216">
      <x:c r="A216" s="117"/>
      <x:c r="B216" s="117"/>
      <x:c r="C216" s="117"/>
      <x:c r="D216" s="117"/>
      <x:c r="E216" s="117"/>
      <x:c r="F216" s="117"/>
      <x:c r="G216" s="117"/>
      <x:c r="H216" s="117"/>
      <x:c r="I216" s="117"/>
      <x:c r="J216" s="117"/>
      <x:c r="K216" s="117"/>
      <x:c r="L216" s="117"/>
      <x:c r="M216" s="117"/>
      <x:c r="N216" s="117"/>
      <x:c r="O216" s="117"/>
      <x:c r="P216" s="117"/>
      <x:c r="Q216" s="117"/>
      <x:c r="R216" s="117"/>
      <x:c r="S216" s="117"/>
      <x:c r="T216" s="117"/>
      <x:c r="U216" s="117"/>
      <x:c r="V216" s="117"/>
      <x:c r="W216" s="117"/>
      <x:c r="X216" s="117"/>
      <x:c r="Y216" s="117"/>
    </x:row>
    <x:row r="217">
      <x:c r="A217" s="117"/>
      <x:c r="B217" s="117"/>
      <x:c r="C217" s="117"/>
      <x:c r="D217" s="117"/>
      <x:c r="E217" s="117"/>
      <x:c r="F217" s="117"/>
      <x:c r="G217" s="117"/>
      <x:c r="H217" s="117"/>
      <x:c r="I217" s="117"/>
      <x:c r="J217" s="117"/>
      <x:c r="K217" s="117"/>
      <x:c r="L217" s="117"/>
      <x:c r="M217" s="117"/>
      <x:c r="N217" s="117"/>
      <x:c r="O217" s="117"/>
      <x:c r="P217" s="117"/>
      <x:c r="Q217" s="117"/>
      <x:c r="R217" s="117"/>
      <x:c r="S217" s="117"/>
      <x:c r="T217" s="117"/>
      <x:c r="U217" s="117"/>
      <x:c r="V217" s="117"/>
      <x:c r="W217" s="117"/>
      <x:c r="X217" s="117"/>
      <x:c r="Y217" s="117"/>
    </x:row>
    <x:row r="218">
      <x:c r="A218" s="117"/>
      <x:c r="B218" s="117"/>
      <x:c r="C218" s="117"/>
      <x:c r="D218" s="117"/>
      <x:c r="E218" s="117"/>
      <x:c r="F218" s="117"/>
      <x:c r="G218" s="117"/>
      <x:c r="H218" s="117"/>
      <x:c r="I218" s="117"/>
      <x:c r="J218" s="117"/>
      <x:c r="K218" s="117"/>
      <x:c r="L218" s="117"/>
      <x:c r="M218" s="117"/>
      <x:c r="N218" s="117"/>
      <x:c r="O218" s="117"/>
      <x:c r="P218" s="117"/>
      <x:c r="Q218" s="117"/>
      <x:c r="R218" s="117"/>
      <x:c r="S218" s="117"/>
      <x:c r="T218" s="117"/>
      <x:c r="U218" s="117"/>
      <x:c r="V218" s="117"/>
      <x:c r="W218" s="117"/>
      <x:c r="X218" s="117"/>
      <x:c r="Y218" s="117"/>
    </x:row>
    <x:row r="219">
      <x:c r="A219" s="117"/>
      <x:c r="B219" s="117"/>
      <x:c r="C219" s="117"/>
      <x:c r="D219" s="117"/>
      <x:c r="E219" s="117"/>
      <x:c r="F219" s="117"/>
      <x:c r="G219" s="117"/>
      <x:c r="H219" s="117"/>
      <x:c r="I219" s="117"/>
      <x:c r="J219" s="117"/>
      <x:c r="K219" s="117"/>
      <x:c r="L219" s="117"/>
      <x:c r="M219" s="117"/>
      <x:c r="N219" s="117"/>
      <x:c r="O219" s="117"/>
      <x:c r="P219" s="117"/>
      <x:c r="Q219" s="117"/>
      <x:c r="R219" s="117"/>
      <x:c r="S219" s="117"/>
      <x:c r="T219" s="117"/>
      <x:c r="U219" s="117"/>
      <x:c r="V219" s="117"/>
      <x:c r="W219" s="117"/>
      <x:c r="X219" s="117"/>
      <x:c r="Y219" s="117"/>
    </x:row>
    <x:row r="220">
      <x:c r="A220" s="117"/>
      <x:c r="B220" s="117"/>
      <x:c r="C220" s="117"/>
      <x:c r="D220" s="117"/>
      <x:c r="E220" s="117"/>
      <x:c r="F220" s="117"/>
      <x:c r="G220" s="117"/>
      <x:c r="H220" s="117"/>
      <x:c r="I220" s="117"/>
      <x:c r="J220" s="117"/>
      <x:c r="K220" s="117"/>
      <x:c r="L220" s="117"/>
      <x:c r="M220" s="117"/>
      <x:c r="N220" s="117"/>
      <x:c r="O220" s="117"/>
      <x:c r="P220" s="117"/>
      <x:c r="Q220" s="117"/>
      <x:c r="R220" s="117"/>
      <x:c r="S220" s="117"/>
      <x:c r="T220" s="117"/>
      <x:c r="U220" s="117"/>
      <x:c r="V220" s="117"/>
      <x:c r="W220" s="117"/>
      <x:c r="X220" s="117"/>
      <x:c r="Y220" s="117"/>
    </x:row>
    <x:row r="221">
      <x:c r="A221" s="117"/>
      <x:c r="B221" s="117"/>
      <x:c r="C221" s="117"/>
      <x:c r="D221" s="117"/>
      <x:c r="E221" s="117"/>
      <x:c r="F221" s="117"/>
      <x:c r="G221" s="117"/>
      <x:c r="H221" s="117"/>
      <x:c r="I221" s="117"/>
      <x:c r="J221" s="117"/>
      <x:c r="K221" s="117"/>
      <x:c r="L221" s="117"/>
      <x:c r="M221" s="117"/>
      <x:c r="N221" s="117"/>
      <x:c r="O221" s="117"/>
      <x:c r="P221" s="117"/>
      <x:c r="Q221" s="117"/>
      <x:c r="R221" s="117"/>
      <x:c r="S221" s="117"/>
      <x:c r="T221" s="117"/>
      <x:c r="U221" s="117"/>
      <x:c r="V221" s="117"/>
      <x:c r="W221" s="117"/>
      <x:c r="X221" s="117"/>
      <x:c r="Y221" s="117"/>
    </x:row>
    <x:row r="222">
      <x:c r="A222" s="117"/>
      <x:c r="B222" s="117"/>
      <x:c r="C222" s="117"/>
      <x:c r="D222" s="117"/>
      <x:c r="E222" s="117"/>
      <x:c r="F222" s="117"/>
      <x:c r="G222" s="117"/>
      <x:c r="H222" s="117"/>
      <x:c r="I222" s="117"/>
      <x:c r="J222" s="117"/>
      <x:c r="K222" s="117"/>
      <x:c r="L222" s="117"/>
      <x:c r="M222" s="117"/>
      <x:c r="N222" s="117"/>
      <x:c r="O222" s="117"/>
      <x:c r="P222" s="117"/>
      <x:c r="Q222" s="117"/>
      <x:c r="R222" s="117"/>
      <x:c r="S222" s="117"/>
      <x:c r="T222" s="117"/>
      <x:c r="U222" s="117"/>
      <x:c r="V222" s="117"/>
      <x:c r="W222" s="117"/>
      <x:c r="X222" s="117"/>
      <x:c r="Y222" s="117"/>
    </x:row>
    <x:row r="223">
      <x:c r="A223" s="117"/>
      <x:c r="B223" s="117"/>
      <x:c r="C223" s="117"/>
      <x:c r="D223" s="117"/>
      <x:c r="E223" s="117"/>
      <x:c r="F223" s="117"/>
      <x:c r="G223" s="117"/>
      <x:c r="H223" s="117"/>
      <x:c r="I223" s="117"/>
      <x:c r="J223" s="117"/>
      <x:c r="K223" s="117"/>
      <x:c r="L223" s="117"/>
      <x:c r="M223" s="117"/>
      <x:c r="N223" s="117"/>
      <x:c r="O223" s="117"/>
      <x:c r="P223" s="117"/>
      <x:c r="Q223" s="117"/>
      <x:c r="R223" s="117"/>
      <x:c r="S223" s="117"/>
      <x:c r="T223" s="117"/>
      <x:c r="U223" s="117"/>
      <x:c r="V223" s="117"/>
      <x:c r="W223" s="117"/>
      <x:c r="X223" s="117"/>
      <x:c r="Y223" s="117"/>
    </x:row>
    <x:row r="224">
      <x:c r="A224" s="117"/>
      <x:c r="B224" s="117"/>
      <x:c r="C224" s="117"/>
      <x:c r="D224" s="117"/>
      <x:c r="E224" s="117"/>
      <x:c r="F224" s="117"/>
      <x:c r="G224" s="117"/>
      <x:c r="H224" s="117"/>
      <x:c r="I224" s="117"/>
      <x:c r="J224" s="117"/>
      <x:c r="K224" s="117"/>
      <x:c r="L224" s="117"/>
      <x:c r="M224" s="117"/>
      <x:c r="N224" s="117"/>
      <x:c r="O224" s="117"/>
      <x:c r="P224" s="117"/>
      <x:c r="Q224" s="117"/>
      <x:c r="R224" s="117"/>
      <x:c r="S224" s="117"/>
      <x:c r="T224" s="117"/>
      <x:c r="U224" s="117"/>
      <x:c r="V224" s="117"/>
      <x:c r="W224" s="117"/>
      <x:c r="X224" s="117"/>
      <x:c r="Y224" s="117"/>
    </x:row>
    <x:row r="225">
      <x:c r="A225" s="117"/>
      <x:c r="B225" s="117"/>
      <x:c r="C225" s="117"/>
      <x:c r="D225" s="117"/>
      <x:c r="E225" s="117"/>
      <x:c r="F225" s="117"/>
      <x:c r="G225" s="117"/>
      <x:c r="H225" s="117"/>
      <x:c r="I225" s="117"/>
      <x:c r="J225" s="117"/>
      <x:c r="K225" s="117"/>
      <x:c r="L225" s="117"/>
      <x:c r="M225" s="117"/>
      <x:c r="N225" s="117"/>
      <x:c r="O225" s="117"/>
      <x:c r="P225" s="117"/>
      <x:c r="Q225" s="117"/>
      <x:c r="R225" s="117"/>
      <x:c r="S225" s="117"/>
      <x:c r="T225" s="117"/>
      <x:c r="U225" s="117"/>
      <x:c r="V225" s="117"/>
      <x:c r="W225" s="117"/>
      <x:c r="X225" s="117"/>
      <x:c r="Y225" s="117"/>
    </x:row>
    <x:row r="226">
      <x:c r="A226" s="117"/>
      <x:c r="B226" s="117"/>
      <x:c r="C226" s="117"/>
      <x:c r="D226" s="117"/>
      <x:c r="E226" s="117"/>
      <x:c r="F226" s="117"/>
      <x:c r="G226" s="117"/>
      <x:c r="H226" s="117"/>
      <x:c r="I226" s="117"/>
      <x:c r="J226" s="117"/>
      <x:c r="K226" s="117"/>
      <x:c r="L226" s="117"/>
      <x:c r="M226" s="117"/>
      <x:c r="N226" s="117"/>
      <x:c r="O226" s="117"/>
      <x:c r="P226" s="117"/>
      <x:c r="Q226" s="117"/>
      <x:c r="R226" s="117"/>
      <x:c r="S226" s="117"/>
      <x:c r="T226" s="117"/>
      <x:c r="U226" s="117"/>
      <x:c r="V226" s="117"/>
      <x:c r="W226" s="117"/>
      <x:c r="X226" s="117"/>
      <x:c r="Y226" s="117"/>
    </x:row>
    <x:row r="227">
      <x:c r="A227" s="117"/>
      <x:c r="B227" s="117"/>
      <x:c r="C227" s="117"/>
      <x:c r="D227" s="117"/>
      <x:c r="E227" s="117"/>
      <x:c r="F227" s="117"/>
      <x:c r="G227" s="117"/>
      <x:c r="H227" s="117"/>
      <x:c r="I227" s="117"/>
      <x:c r="J227" s="117"/>
      <x:c r="K227" s="117"/>
      <x:c r="L227" s="117"/>
      <x:c r="M227" s="117"/>
      <x:c r="N227" s="117"/>
      <x:c r="O227" s="117"/>
      <x:c r="P227" s="117"/>
      <x:c r="Q227" s="117"/>
      <x:c r="R227" s="117"/>
      <x:c r="S227" s="117"/>
      <x:c r="T227" s="117"/>
      <x:c r="U227" s="117"/>
      <x:c r="V227" s="117"/>
      <x:c r="W227" s="117"/>
      <x:c r="X227" s="117"/>
      <x:c r="Y227" s="117"/>
    </x:row>
    <x:row r="228">
      <x:c r="A228" s="117"/>
      <x:c r="B228" s="117"/>
      <x:c r="C228" s="117"/>
      <x:c r="D228" s="117"/>
      <x:c r="E228" s="117"/>
      <x:c r="F228" s="117"/>
      <x:c r="G228" s="117"/>
      <x:c r="H228" s="117"/>
      <x:c r="I228" s="117"/>
      <x:c r="J228" s="117"/>
      <x:c r="K228" s="117"/>
      <x:c r="L228" s="117"/>
      <x:c r="M228" s="117"/>
      <x:c r="N228" s="117"/>
      <x:c r="O228" s="117"/>
      <x:c r="P228" s="117"/>
      <x:c r="Q228" s="117"/>
      <x:c r="R228" s="117"/>
      <x:c r="S228" s="117"/>
      <x:c r="T228" s="117"/>
      <x:c r="U228" s="117"/>
      <x:c r="V228" s="117"/>
      <x:c r="W228" s="117"/>
      <x:c r="X228" s="117"/>
      <x:c r="Y228" s="117"/>
    </x:row>
    <x:row r="229">
      <x:c r="A229" s="117"/>
      <x:c r="B229" s="117"/>
      <x:c r="C229" s="117"/>
      <x:c r="D229" s="117"/>
      <x:c r="E229" s="117"/>
      <x:c r="F229" s="117"/>
      <x:c r="G229" s="117"/>
      <x:c r="H229" s="117"/>
      <x:c r="I229" s="117"/>
      <x:c r="J229" s="117"/>
      <x:c r="K229" s="117"/>
      <x:c r="L229" s="117"/>
      <x:c r="M229" s="117"/>
      <x:c r="N229" s="117"/>
      <x:c r="O229" s="117"/>
      <x:c r="P229" s="117"/>
      <x:c r="Q229" s="117"/>
      <x:c r="R229" s="117"/>
      <x:c r="S229" s="117"/>
      <x:c r="T229" s="117"/>
      <x:c r="U229" s="117"/>
      <x:c r="V229" s="117"/>
      <x:c r="W229" s="117"/>
      <x:c r="X229" s="117"/>
      <x:c r="Y229" s="117"/>
    </x:row>
    <x:row r="230">
      <x:c r="A230" s="117"/>
      <x:c r="B230" s="117"/>
      <x:c r="C230" s="117"/>
      <x:c r="D230" s="117"/>
      <x:c r="E230" s="117"/>
      <x:c r="F230" s="117"/>
      <x:c r="G230" s="117"/>
      <x:c r="H230" s="117"/>
      <x:c r="I230" s="117"/>
      <x:c r="J230" s="117"/>
      <x:c r="K230" s="117"/>
      <x:c r="L230" s="117"/>
      <x:c r="M230" s="117"/>
      <x:c r="N230" s="117"/>
      <x:c r="O230" s="117"/>
      <x:c r="P230" s="117"/>
      <x:c r="Q230" s="117"/>
      <x:c r="R230" s="117"/>
      <x:c r="S230" s="117"/>
      <x:c r="T230" s="117"/>
      <x:c r="U230" s="117"/>
      <x:c r="V230" s="117"/>
      <x:c r="W230" s="117"/>
      <x:c r="X230" s="117"/>
      <x:c r="Y230" s="117"/>
    </x:row>
    <x:row r="231">
      <x:c r="A231" s="117"/>
      <x:c r="B231" s="117"/>
      <x:c r="C231" s="117"/>
      <x:c r="D231" s="117"/>
      <x:c r="E231" s="117"/>
      <x:c r="F231" s="117"/>
      <x:c r="G231" s="117"/>
      <x:c r="H231" s="117"/>
      <x:c r="I231" s="117"/>
      <x:c r="J231" s="117"/>
      <x:c r="K231" s="117"/>
      <x:c r="L231" s="117"/>
      <x:c r="M231" s="117"/>
      <x:c r="N231" s="117"/>
      <x:c r="O231" s="117"/>
      <x:c r="P231" s="117"/>
      <x:c r="Q231" s="117"/>
      <x:c r="R231" s="117"/>
      <x:c r="S231" s="117"/>
      <x:c r="T231" s="117"/>
      <x:c r="U231" s="117"/>
      <x:c r="V231" s="117"/>
      <x:c r="W231" s="117"/>
      <x:c r="X231" s="117"/>
      <x:c r="Y231" s="117"/>
    </x:row>
    <x:row r="232">
      <x:c r="A232" s="117"/>
      <x:c r="B232" s="117"/>
      <x:c r="C232" s="117"/>
      <x:c r="D232" s="117"/>
      <x:c r="E232" s="117"/>
      <x:c r="F232" s="117"/>
      <x:c r="G232" s="117"/>
      <x:c r="H232" s="117"/>
      <x:c r="I232" s="117"/>
      <x:c r="J232" s="117"/>
      <x:c r="K232" s="117"/>
      <x:c r="L232" s="117"/>
      <x:c r="M232" s="117"/>
      <x:c r="N232" s="117"/>
      <x:c r="O232" s="117"/>
      <x:c r="P232" s="117"/>
      <x:c r="Q232" s="117"/>
      <x:c r="R232" s="117"/>
      <x:c r="S232" s="117"/>
      <x:c r="T232" s="117"/>
      <x:c r="U232" s="117"/>
      <x:c r="V232" s="117"/>
      <x:c r="W232" s="117"/>
      <x:c r="X232" s="117"/>
      <x:c r="Y232" s="117"/>
    </x:row>
    <x:row r="233">
      <x:c r="A233" s="117"/>
      <x:c r="B233" s="117"/>
      <x:c r="C233" s="117"/>
      <x:c r="D233" s="117"/>
      <x:c r="E233" s="117"/>
      <x:c r="F233" s="117"/>
      <x:c r="G233" s="117"/>
      <x:c r="H233" s="117"/>
      <x:c r="I233" s="117"/>
      <x:c r="J233" s="117"/>
      <x:c r="K233" s="117"/>
      <x:c r="L233" s="117"/>
      <x:c r="M233" s="117"/>
      <x:c r="N233" s="117"/>
      <x:c r="O233" s="117"/>
      <x:c r="P233" s="117"/>
      <x:c r="Q233" s="117"/>
      <x:c r="R233" s="117"/>
      <x:c r="S233" s="117"/>
      <x:c r="T233" s="117"/>
      <x:c r="U233" s="117"/>
      <x:c r="V233" s="117"/>
      <x:c r="W233" s="117"/>
      <x:c r="X233" s="117"/>
      <x:c r="Y233" s="117"/>
    </x:row>
    <x:row r="234">
      <x:c r="A234" s="117"/>
      <x:c r="B234" s="117"/>
      <x:c r="C234" s="117"/>
      <x:c r="D234" s="117"/>
      <x:c r="E234" s="117"/>
      <x:c r="F234" s="117"/>
      <x:c r="G234" s="117"/>
      <x:c r="H234" s="117"/>
      <x:c r="I234" s="117"/>
      <x:c r="J234" s="117"/>
      <x:c r="K234" s="117"/>
      <x:c r="L234" s="117"/>
      <x:c r="M234" s="117"/>
      <x:c r="N234" s="117"/>
      <x:c r="O234" s="117"/>
      <x:c r="P234" s="117"/>
      <x:c r="Q234" s="117"/>
      <x:c r="R234" s="117"/>
      <x:c r="S234" s="117"/>
      <x:c r="T234" s="117"/>
      <x:c r="U234" s="117"/>
      <x:c r="V234" s="117"/>
      <x:c r="W234" s="117"/>
      <x:c r="X234" s="117"/>
      <x:c r="Y234" s="117"/>
    </x:row>
    <x:row r="235">
      <x:c r="A235" s="117"/>
      <x:c r="B235" s="117"/>
      <x:c r="C235" s="117"/>
      <x:c r="D235" s="117"/>
      <x:c r="E235" s="117"/>
      <x:c r="F235" s="117"/>
      <x:c r="G235" s="117"/>
      <x:c r="H235" s="117"/>
      <x:c r="I235" s="117"/>
      <x:c r="J235" s="117"/>
      <x:c r="K235" s="117"/>
      <x:c r="L235" s="117"/>
      <x:c r="M235" s="117"/>
      <x:c r="N235" s="117"/>
      <x:c r="O235" s="117"/>
      <x:c r="P235" s="117"/>
      <x:c r="Q235" s="117"/>
      <x:c r="R235" s="117"/>
      <x:c r="S235" s="117"/>
      <x:c r="T235" s="117"/>
      <x:c r="U235" s="117"/>
      <x:c r="V235" s="117"/>
      <x:c r="W235" s="117"/>
      <x:c r="X235" s="117"/>
      <x:c r="Y235" s="117"/>
    </x:row>
    <x:row r="236">
      <x:c r="A236" s="117"/>
      <x:c r="B236" s="117"/>
      <x:c r="C236" s="117"/>
      <x:c r="D236" s="117"/>
      <x:c r="E236" s="117"/>
      <x:c r="F236" s="117"/>
      <x:c r="G236" s="117"/>
      <x:c r="H236" s="117"/>
      <x:c r="I236" s="117"/>
      <x:c r="J236" s="117"/>
      <x:c r="K236" s="117"/>
      <x:c r="L236" s="117"/>
      <x:c r="M236" s="117"/>
      <x:c r="N236" s="117"/>
      <x:c r="O236" s="117"/>
      <x:c r="P236" s="117"/>
      <x:c r="Q236" s="117"/>
      <x:c r="R236" s="117"/>
      <x:c r="S236" s="117"/>
      <x:c r="T236" s="117"/>
      <x:c r="U236" s="117"/>
      <x:c r="V236" s="117"/>
      <x:c r="W236" s="117"/>
      <x:c r="X236" s="117"/>
      <x:c r="Y236" s="117"/>
    </x:row>
    <x:row r="237">
      <x:c r="A237" s="117"/>
      <x:c r="B237" s="117"/>
      <x:c r="C237" s="117"/>
      <x:c r="D237" s="117"/>
      <x:c r="E237" s="117"/>
      <x:c r="F237" s="117"/>
      <x:c r="G237" s="117"/>
      <x:c r="H237" s="117"/>
      <x:c r="I237" s="117"/>
      <x:c r="J237" s="117"/>
      <x:c r="K237" s="117"/>
      <x:c r="L237" s="117"/>
      <x:c r="M237" s="117"/>
      <x:c r="N237" s="117"/>
      <x:c r="O237" s="117"/>
      <x:c r="P237" s="117"/>
      <x:c r="Q237" s="117"/>
      <x:c r="R237" s="117"/>
      <x:c r="S237" s="117"/>
      <x:c r="T237" s="117"/>
      <x:c r="U237" s="117"/>
      <x:c r="V237" s="117"/>
      <x:c r="W237" s="117"/>
      <x:c r="X237" s="117"/>
      <x:c r="Y237" s="117"/>
    </x:row>
    <x:row r="238">
      <x:c r="A238" s="117"/>
      <x:c r="B238" s="117"/>
      <x:c r="C238" s="117"/>
      <x:c r="D238" s="117"/>
      <x:c r="E238" s="117"/>
      <x:c r="F238" s="117"/>
      <x:c r="G238" s="117"/>
      <x:c r="H238" s="117"/>
      <x:c r="I238" s="117"/>
      <x:c r="J238" s="117"/>
      <x:c r="K238" s="117"/>
      <x:c r="L238" s="117"/>
      <x:c r="M238" s="117"/>
      <x:c r="N238" s="117"/>
      <x:c r="O238" s="117"/>
      <x:c r="P238" s="117"/>
      <x:c r="Q238" s="117"/>
      <x:c r="R238" s="117"/>
      <x:c r="S238" s="117"/>
      <x:c r="T238" s="117"/>
      <x:c r="U238" s="117"/>
      <x:c r="V238" s="117"/>
      <x:c r="W238" s="117"/>
      <x:c r="X238" s="117"/>
      <x:c r="Y238" s="117"/>
    </x:row>
    <x:row r="239">
      <x:c r="A239" s="117"/>
      <x:c r="B239" s="117"/>
      <x:c r="C239" s="117"/>
      <x:c r="D239" s="117"/>
      <x:c r="E239" s="117"/>
      <x:c r="F239" s="117"/>
      <x:c r="G239" s="117"/>
      <x:c r="H239" s="117"/>
      <x:c r="I239" s="117"/>
      <x:c r="J239" s="117"/>
      <x:c r="K239" s="117"/>
      <x:c r="L239" s="117"/>
      <x:c r="M239" s="117"/>
      <x:c r="N239" s="117"/>
      <x:c r="O239" s="117"/>
      <x:c r="P239" s="117"/>
      <x:c r="Q239" s="117"/>
      <x:c r="R239" s="117"/>
      <x:c r="S239" s="117"/>
      <x:c r="T239" s="117"/>
      <x:c r="U239" s="117"/>
      <x:c r="V239" s="117"/>
      <x:c r="W239" s="117"/>
      <x:c r="X239" s="117"/>
      <x:c r="Y239" s="117"/>
    </x:row>
    <x:row r="240">
      <x:c r="A240" s="117"/>
      <x:c r="B240" s="117"/>
      <x:c r="C240" s="117"/>
      <x:c r="D240" s="117"/>
      <x:c r="E240" s="117"/>
      <x:c r="F240" s="117"/>
      <x:c r="G240" s="117"/>
      <x:c r="H240" s="117"/>
      <x:c r="I240" s="117"/>
      <x:c r="J240" s="117"/>
      <x:c r="K240" s="117"/>
      <x:c r="L240" s="117"/>
      <x:c r="M240" s="117"/>
      <x:c r="N240" s="117"/>
      <x:c r="O240" s="117"/>
      <x:c r="P240" s="117"/>
      <x:c r="Q240" s="117"/>
      <x:c r="R240" s="117"/>
      <x:c r="S240" s="117"/>
      <x:c r="T240" s="117"/>
      <x:c r="U240" s="117"/>
      <x:c r="V240" s="117"/>
      <x:c r="W240" s="117"/>
      <x:c r="X240" s="117"/>
      <x:c r="Y240" s="117"/>
    </x:row>
    <x:row r="241">
      <x:c r="A241" s="117"/>
      <x:c r="B241" s="117"/>
      <x:c r="C241" s="117"/>
      <x:c r="D241" s="117"/>
      <x:c r="E241" s="117"/>
      <x:c r="F241" s="117"/>
      <x:c r="G241" s="117"/>
      <x:c r="H241" s="117"/>
      <x:c r="I241" s="117"/>
      <x:c r="J241" s="117"/>
      <x:c r="K241" s="117"/>
      <x:c r="L241" s="117"/>
      <x:c r="M241" s="117"/>
      <x:c r="N241" s="117"/>
      <x:c r="O241" s="117"/>
      <x:c r="P241" s="117"/>
      <x:c r="Q241" s="117"/>
      <x:c r="R241" s="117"/>
      <x:c r="S241" s="117"/>
      <x:c r="T241" s="117"/>
      <x:c r="U241" s="117"/>
      <x:c r="V241" s="117"/>
      <x:c r="W241" s="117"/>
      <x:c r="X241" s="117"/>
      <x:c r="Y241" s="117"/>
    </x:row>
    <x:row r="242">
      <x:c r="A242" s="117"/>
      <x:c r="B242" s="117"/>
      <x:c r="C242" s="117"/>
      <x:c r="D242" s="117"/>
      <x:c r="E242" s="117"/>
      <x:c r="F242" s="117"/>
      <x:c r="G242" s="117"/>
      <x:c r="H242" s="117"/>
      <x:c r="I242" s="117"/>
      <x:c r="J242" s="117"/>
      <x:c r="K242" s="117"/>
      <x:c r="L242" s="117"/>
      <x:c r="M242" s="117"/>
      <x:c r="N242" s="117"/>
      <x:c r="O242" s="117"/>
      <x:c r="P242" s="117"/>
      <x:c r="Q242" s="117"/>
      <x:c r="R242" s="117"/>
      <x:c r="S242" s="117"/>
      <x:c r="T242" s="117"/>
      <x:c r="U242" s="117"/>
      <x:c r="V242" s="117"/>
      <x:c r="W242" s="117"/>
      <x:c r="X242" s="117"/>
      <x:c r="Y242" s="117"/>
    </x:row>
    <x:row r="243">
      <x:c r="A243" s="117"/>
      <x:c r="B243" s="117"/>
      <x:c r="C243" s="117"/>
      <x:c r="D243" s="117"/>
      <x:c r="E243" s="117"/>
      <x:c r="F243" s="117"/>
      <x:c r="G243" s="117"/>
      <x:c r="H243" s="117"/>
      <x:c r="I243" s="117"/>
      <x:c r="J243" s="117"/>
      <x:c r="K243" s="117"/>
      <x:c r="L243" s="117"/>
      <x:c r="M243" s="117"/>
      <x:c r="N243" s="117"/>
      <x:c r="O243" s="117"/>
      <x:c r="P243" s="117"/>
      <x:c r="Q243" s="117"/>
      <x:c r="R243" s="117"/>
      <x:c r="S243" s="117"/>
      <x:c r="T243" s="117"/>
      <x:c r="U243" s="117"/>
      <x:c r="V243" s="117"/>
      <x:c r="W243" s="117"/>
      <x:c r="X243" s="117"/>
      <x:c r="Y243" s="117"/>
    </x:row>
    <x:row r="244">
      <x:c r="A244" s="117"/>
      <x:c r="B244" s="117"/>
      <x:c r="C244" s="117"/>
      <x:c r="D244" s="117"/>
      <x:c r="E244" s="117"/>
      <x:c r="F244" s="117"/>
      <x:c r="G244" s="117"/>
      <x:c r="H244" s="117"/>
      <x:c r="I244" s="117"/>
      <x:c r="J244" s="117"/>
      <x:c r="K244" s="117"/>
      <x:c r="L244" s="117"/>
      <x:c r="M244" s="117"/>
      <x:c r="N244" s="117"/>
      <x:c r="O244" s="117"/>
      <x:c r="P244" s="117"/>
      <x:c r="Q244" s="117"/>
      <x:c r="R244" s="117"/>
      <x:c r="S244" s="117"/>
      <x:c r="T244" s="117"/>
      <x:c r="U244" s="117"/>
      <x:c r="V244" s="117"/>
      <x:c r="W244" s="117"/>
      <x:c r="X244" s="117"/>
      <x:c r="Y244" s="117"/>
    </x:row>
    <x:row r="245">
      <x:c r="A245" s="117"/>
      <x:c r="B245" s="117"/>
      <x:c r="C245" s="117"/>
      <x:c r="D245" s="117"/>
      <x:c r="E245" s="117"/>
      <x:c r="F245" s="117"/>
      <x:c r="G245" s="117"/>
      <x:c r="H245" s="117"/>
      <x:c r="I245" s="117"/>
      <x:c r="J245" s="117"/>
      <x:c r="K245" s="117"/>
      <x:c r="L245" s="117"/>
      <x:c r="M245" s="117"/>
      <x:c r="N245" s="117"/>
      <x:c r="O245" s="117"/>
      <x:c r="P245" s="117"/>
      <x:c r="Q245" s="117"/>
      <x:c r="R245" s="117"/>
      <x:c r="S245" s="117"/>
      <x:c r="T245" s="117"/>
      <x:c r="U245" s="117"/>
      <x:c r="V245" s="117"/>
      <x:c r="W245" s="117"/>
      <x:c r="X245" s="117"/>
      <x:c r="Y245" s="117"/>
    </x:row>
    <x:row r="246">
      <x:c r="A246" s="117"/>
      <x:c r="B246" s="117"/>
      <x:c r="C246" s="117"/>
      <x:c r="D246" s="117"/>
      <x:c r="E246" s="117"/>
      <x:c r="F246" s="117"/>
      <x:c r="G246" s="117"/>
      <x:c r="H246" s="117"/>
      <x:c r="I246" s="117"/>
      <x:c r="J246" s="117"/>
      <x:c r="K246" s="117"/>
      <x:c r="L246" s="117"/>
      <x:c r="M246" s="117"/>
      <x:c r="N246" s="117"/>
      <x:c r="O246" s="117"/>
      <x:c r="P246" s="117"/>
      <x:c r="Q246" s="117"/>
      <x:c r="R246" s="117"/>
      <x:c r="S246" s="117"/>
      <x:c r="T246" s="117"/>
      <x:c r="U246" s="117"/>
      <x:c r="V246" s="117"/>
      <x:c r="W246" s="117"/>
      <x:c r="X246" s="117"/>
      <x:c r="Y246" s="117"/>
    </x:row>
    <x:row r="247">
      <x:c r="A247" s="117"/>
      <x:c r="B247" s="117"/>
      <x:c r="C247" s="117"/>
      <x:c r="D247" s="117"/>
      <x:c r="E247" s="117"/>
      <x:c r="F247" s="117"/>
      <x:c r="G247" s="117"/>
      <x:c r="H247" s="117"/>
      <x:c r="I247" s="117"/>
      <x:c r="J247" s="117"/>
      <x:c r="K247" s="117"/>
      <x:c r="L247" s="117"/>
      <x:c r="M247" s="117"/>
      <x:c r="N247" s="117"/>
      <x:c r="O247" s="117"/>
      <x:c r="P247" s="117"/>
      <x:c r="Q247" s="117"/>
      <x:c r="R247" s="117"/>
      <x:c r="S247" s="117"/>
      <x:c r="T247" s="117"/>
      <x:c r="U247" s="117"/>
      <x:c r="V247" s="117"/>
      <x:c r="W247" s="117"/>
      <x:c r="X247" s="117"/>
      <x:c r="Y247" s="117"/>
    </x:row>
    <x:row r="248">
      <x:c r="A248" s="117"/>
      <x:c r="B248" s="117"/>
      <x:c r="C248" s="117"/>
      <x:c r="D248" s="117"/>
      <x:c r="E248" s="117"/>
      <x:c r="F248" s="117"/>
      <x:c r="G248" s="117"/>
      <x:c r="H248" s="117"/>
      <x:c r="I248" s="117"/>
      <x:c r="J248" s="117"/>
      <x:c r="K248" s="117"/>
      <x:c r="L248" s="117"/>
      <x:c r="M248" s="117"/>
      <x:c r="N248" s="117"/>
      <x:c r="O248" s="117"/>
      <x:c r="P248" s="117"/>
      <x:c r="Q248" s="117"/>
      <x:c r="R248" s="117"/>
      <x:c r="S248" s="117"/>
      <x:c r="T248" s="117"/>
      <x:c r="U248" s="117"/>
      <x:c r="V248" s="117"/>
      <x:c r="W248" s="117"/>
      <x:c r="X248" s="117"/>
      <x:c r="Y248" s="117"/>
    </x:row>
    <x:row r="249">
      <x:c r="A249" s="117"/>
      <x:c r="B249" s="117"/>
      <x:c r="C249" s="117"/>
      <x:c r="D249" s="117"/>
      <x:c r="E249" s="117"/>
      <x:c r="F249" s="117"/>
      <x:c r="G249" s="117"/>
      <x:c r="H249" s="117"/>
      <x:c r="I249" s="117"/>
      <x:c r="J249" s="117"/>
      <x:c r="K249" s="117"/>
      <x:c r="L249" s="117"/>
      <x:c r="M249" s="117"/>
      <x:c r="N249" s="117"/>
      <x:c r="O249" s="117"/>
      <x:c r="P249" s="117"/>
      <x:c r="Q249" s="117"/>
      <x:c r="R249" s="117"/>
      <x:c r="S249" s="117"/>
      <x:c r="T249" s="117"/>
      <x:c r="U249" s="117"/>
      <x:c r="V249" s="117"/>
      <x:c r="W249" s="117"/>
      <x:c r="X249" s="117"/>
      <x:c r="Y249" s="117"/>
    </x:row>
    <x:row r="250">
      <x:c r="A250" s="117"/>
      <x:c r="B250" s="117"/>
      <x:c r="C250" s="117"/>
      <x:c r="D250" s="117"/>
      <x:c r="E250" s="117"/>
      <x:c r="F250" s="117"/>
      <x:c r="G250" s="117"/>
      <x:c r="H250" s="117"/>
      <x:c r="I250" s="117"/>
      <x:c r="J250" s="117"/>
      <x:c r="K250" s="117"/>
      <x:c r="L250" s="117"/>
      <x:c r="M250" s="117"/>
      <x:c r="N250" s="117"/>
      <x:c r="O250" s="117"/>
      <x:c r="P250" s="117"/>
      <x:c r="Q250" s="117"/>
      <x:c r="R250" s="117"/>
      <x:c r="S250" s="117"/>
      <x:c r="T250" s="117"/>
      <x:c r="U250" s="117"/>
      <x:c r="V250" s="117"/>
      <x:c r="W250" s="117"/>
      <x:c r="X250" s="117"/>
      <x:c r="Y250" s="117"/>
    </x:row>
  </x:sheetData>
  <x:mergeCells>
    <x:mergeCell ref="A1:G2"/>
    <x:mergeCell ref="A12:G12"/>
    <x:mergeCell ref="A13:G18"/>
    <x:mergeCell ref="A21:G21"/>
    <x:mergeCell ref="A22:G28"/>
  </x:mergeCells>
  <x:pageMargins left="0.7" right="0.7" top="0.75" bottom="0.75" header="0.3" footer="0.3"/>
</x:worksheet>
</file>

<file path=xl/worksheets/sheet7.xml><?xml version="1.0" encoding="utf-8"?>
<x:worksheet xmlns:x="http://schemas.openxmlformats.org/spreadsheetml/2006/main">
  <x:sheetFormatPr defaultRowHeight="15"/>
  <x:cols>
    <x:col min="1" max="1" width="40" hidden="0" customWidth="1"/>
    <x:col min="2" max="2" width="63" hidden="0" customWidth="1"/>
    <x:col min="3" max="3" width="58" hidden="0" customWidth="1"/>
    <x:col min="4" max="4" width="24" hidden="0" customWidth="1"/>
  </x:cols>
  <x:sheetData>
    <x:row r="1">
      <x:c r="A1" s="154" t="str">
        <x:v>Source</x:v>
      </x:c>
      <x:c r="B1" s="154" t="str">
        <x:v>Use</x:v>
      </x:c>
      <x:c r="C1" s="154" t="str">
        <x:v>URL</x:v>
      </x:c>
      <x:c r="D1" s="154" t="str">
        <x:v>Status</x:v>
      </x:c>
      <x:c r="E1" s="117"/>
      <x:c r="F1" s="117"/>
      <x:c r="G1" s="117"/>
      <x:c r="H1" s="117"/>
      <x:c r="I1" s="117"/>
      <x:c r="J1" s="117"/>
      <x:c r="K1" s="117"/>
      <x:c r="L1" s="117"/>
      <x:c r="M1" s="117"/>
      <x:c r="N1" s="117"/>
      <x:c r="O1" s="117"/>
      <x:c r="P1" s="117"/>
      <x:c r="Q1" s="117"/>
      <x:c r="R1" s="117"/>
      <x:c r="S1" s="117"/>
      <x:c r="T1" s="117"/>
      <x:c r="U1" s="117"/>
      <x:c r="V1" s="117"/>
      <x:c r="W1" s="117"/>
      <x:c r="X1" s="117"/>
      <x:c r="Y1" s="117"/>
    </x:row>
    <x:row r="2">
      <x:c r="A2" s="62" t="str">
        <x:v>NIST Cybersecurity Framework 2.0</x:v>
      </x:c>
      <x:c r="B2" s="62" t="str">
        <x:v>Primary cybersecurity governance and risk-management framework for later risk/control mapping.</x:v>
      </x:c>
      <x:c r="C2" s="62" t="str">
        <x:v>https://www.nist.gov/cyberframework</x:v>
      </x:c>
      <x:c r="D2" s="62" t="str">
        <x:v>Current final framework</x:v>
      </x:c>
      <x:c r="E2" s="117"/>
      <x:c r="F2" s="117"/>
      <x:c r="G2" s="117"/>
      <x:c r="H2" s="117"/>
      <x:c r="I2" s="117"/>
      <x:c r="J2" s="117"/>
      <x:c r="K2" s="117"/>
      <x:c r="L2" s="117"/>
      <x:c r="M2" s="117"/>
      <x:c r="N2" s="117"/>
      <x:c r="O2" s="117"/>
      <x:c r="P2" s="117"/>
      <x:c r="Q2" s="117"/>
      <x:c r="R2" s="117"/>
      <x:c r="S2" s="117"/>
      <x:c r="T2" s="117"/>
      <x:c r="U2" s="117"/>
      <x:c r="V2" s="117"/>
      <x:c r="W2" s="117"/>
      <x:c r="X2" s="117"/>
      <x:c r="Y2" s="117"/>
    </x:row>
    <x:row r="3">
      <x:c r="A3" s="62" t="str">
        <x:v>NIST CSF 2.0 Core</x:v>
      </x:c>
      <x:c r="B3" s="62" t="str">
        <x:v>Supporting reference for Govern, Identify, Protect, Detect, Respond and Recover outcomes.</x:v>
      </x:c>
      <x:c r="C3" s="62" t="str">
        <x:v>https://www.nist.gov/cyberframework</x:v>
      </x:c>
      <x:c r="D3" s="62" t="str">
        <x:v>Current final framework</x:v>
      </x:c>
      <x:c r="E3" s="117"/>
      <x:c r="F3" s="117"/>
      <x:c r="G3" s="117"/>
      <x:c r="H3" s="117"/>
      <x:c r="I3" s="117"/>
      <x:c r="J3" s="117"/>
      <x:c r="K3" s="117"/>
      <x:c r="L3" s="117"/>
      <x:c r="M3" s="117"/>
      <x:c r="N3" s="117"/>
      <x:c r="O3" s="117"/>
      <x:c r="P3" s="117"/>
      <x:c r="Q3" s="117"/>
      <x:c r="R3" s="117"/>
      <x:c r="S3" s="117"/>
      <x:c r="T3" s="117"/>
      <x:c r="U3" s="117"/>
      <x:c r="V3" s="117"/>
      <x:c r="W3" s="117"/>
      <x:c r="X3" s="117"/>
      <x:c r="Y3" s="117"/>
    </x:row>
    <x:row r="4">
      <x:c r="A4" s="62" t="str">
        <x:v>ISO/IEC 27001:2022</x:v>
      </x:c>
      <x:c r="B4" s="62" t="str">
        <x:v>Supporting information-security management/control crosswalk. No certification claim is made.</x:v>
      </x:c>
      <x:c r="C4" s="62" t="str">
        <x:v>https://www.iso.org/standard/27001</x:v>
      </x:c>
      <x:c r="D4" s="62" t="str">
        <x:v>2022 edition</x:v>
      </x:c>
      <x:c r="E4" s="117"/>
      <x:c r="F4" s="117"/>
      <x:c r="G4" s="117"/>
      <x:c r="H4" s="117"/>
      <x:c r="I4" s="117"/>
      <x:c r="J4" s="117"/>
      <x:c r="K4" s="117"/>
      <x:c r="L4" s="117"/>
      <x:c r="M4" s="117"/>
      <x:c r="N4" s="117"/>
      <x:c r="O4" s="117"/>
      <x:c r="P4" s="117"/>
      <x:c r="Q4" s="117"/>
      <x:c r="R4" s="117"/>
      <x:c r="S4" s="117"/>
      <x:c r="T4" s="117"/>
      <x:c r="U4" s="117"/>
      <x:c r="V4" s="117"/>
      <x:c r="W4" s="117"/>
      <x:c r="X4" s="117"/>
      <x:c r="Y4" s="117"/>
    </x:row>
    <x:row r="5">
      <x:c r="A5" s="117"/>
      <x:c r="B5" s="117"/>
      <x:c r="C5" s="117"/>
      <x:c r="D5" s="117"/>
      <x:c r="E5" s="117"/>
      <x:c r="F5" s="117"/>
      <x:c r="G5" s="117"/>
      <x:c r="H5" s="117"/>
      <x:c r="I5" s="117"/>
      <x:c r="J5" s="117"/>
      <x:c r="K5" s="117"/>
      <x:c r="L5" s="117"/>
      <x:c r="M5" s="117"/>
      <x:c r="N5" s="117"/>
      <x:c r="O5" s="117"/>
      <x:c r="P5" s="117"/>
      <x:c r="Q5" s="117"/>
      <x:c r="R5" s="117"/>
      <x:c r="S5" s="117"/>
      <x:c r="T5" s="117"/>
      <x:c r="U5" s="117"/>
      <x:c r="V5" s="117"/>
      <x:c r="W5" s="117"/>
      <x:c r="X5" s="117"/>
      <x:c r="Y5" s="117"/>
    </x:row>
    <x:row r="6">
      <x:c r="A6" s="117"/>
      <x:c r="B6" s="117"/>
      <x:c r="C6" s="117"/>
      <x:c r="D6" s="117"/>
      <x:c r="E6" s="117"/>
      <x:c r="F6" s="117"/>
      <x:c r="G6" s="117"/>
      <x:c r="H6" s="117"/>
      <x:c r="I6" s="117"/>
      <x:c r="J6" s="117"/>
      <x:c r="K6" s="117"/>
      <x:c r="L6" s="117"/>
      <x:c r="M6" s="117"/>
      <x:c r="N6" s="117"/>
      <x:c r="O6" s="117"/>
      <x:c r="P6" s="117"/>
      <x:c r="Q6" s="117"/>
      <x:c r="R6" s="117"/>
      <x:c r="S6" s="117"/>
      <x:c r="T6" s="117"/>
      <x:c r="U6" s="117"/>
      <x:c r="V6" s="117"/>
      <x:c r="W6" s="117"/>
      <x:c r="X6" s="117"/>
      <x:c r="Y6" s="117"/>
    </x:row>
    <x:row r="7">
      <x:c r="A7" s="117"/>
      <x:c r="B7" s="117"/>
      <x:c r="C7" s="117"/>
      <x:c r="D7" s="117"/>
      <x:c r="E7" s="117"/>
      <x:c r="F7" s="117"/>
      <x:c r="G7" s="117"/>
      <x:c r="H7" s="117"/>
      <x:c r="I7" s="117"/>
      <x:c r="J7" s="117"/>
      <x:c r="K7" s="117"/>
      <x:c r="L7" s="117"/>
      <x:c r="M7" s="117"/>
      <x:c r="N7" s="117"/>
      <x:c r="O7" s="117"/>
      <x:c r="P7" s="117"/>
      <x:c r="Q7" s="117"/>
      <x:c r="R7" s="117"/>
      <x:c r="S7" s="117"/>
      <x:c r="T7" s="117"/>
      <x:c r="U7" s="117"/>
      <x:c r="V7" s="117"/>
      <x:c r="W7" s="117"/>
      <x:c r="X7" s="117"/>
      <x:c r="Y7" s="117"/>
    </x:row>
    <x:row r="8">
      <x:c r="A8" s="117"/>
      <x:c r="B8" s="117"/>
      <x:c r="C8" s="117"/>
      <x:c r="D8" s="117"/>
      <x:c r="E8" s="117"/>
      <x:c r="F8" s="117"/>
      <x:c r="G8" s="117"/>
      <x:c r="H8" s="117"/>
      <x:c r="I8" s="117"/>
      <x:c r="J8" s="117"/>
      <x:c r="K8" s="117"/>
      <x:c r="L8" s="117"/>
      <x:c r="M8" s="117"/>
      <x:c r="N8" s="117"/>
      <x:c r="O8" s="117"/>
      <x:c r="P8" s="117"/>
      <x:c r="Q8" s="117"/>
      <x:c r="R8" s="117"/>
      <x:c r="S8" s="117"/>
      <x:c r="T8" s="117"/>
      <x:c r="U8" s="117"/>
      <x:c r="V8" s="117"/>
      <x:c r="W8" s="117"/>
      <x:c r="X8" s="117"/>
      <x:c r="Y8" s="117"/>
    </x:row>
    <x:row r="9">
      <x:c r="A9" s="117"/>
      <x:c r="B9" s="117"/>
      <x:c r="C9" s="117"/>
      <x:c r="D9" s="117"/>
      <x:c r="E9" s="117"/>
      <x:c r="F9" s="117"/>
      <x:c r="G9" s="117"/>
      <x:c r="H9" s="117"/>
      <x:c r="I9" s="117"/>
      <x:c r="J9" s="117"/>
      <x:c r="K9" s="117"/>
      <x:c r="L9" s="117"/>
      <x:c r="M9" s="117"/>
      <x:c r="N9" s="117"/>
      <x:c r="O9" s="117"/>
      <x:c r="P9" s="117"/>
      <x:c r="Q9" s="117"/>
      <x:c r="R9" s="117"/>
      <x:c r="S9" s="117"/>
      <x:c r="T9" s="117"/>
      <x:c r="U9" s="117"/>
      <x:c r="V9" s="117"/>
      <x:c r="W9" s="117"/>
      <x:c r="X9" s="117"/>
      <x:c r="Y9" s="117"/>
    </x:row>
    <x:row r="10">
      <x:c r="A10" s="117"/>
      <x:c r="B10" s="117"/>
      <x:c r="C10" s="117"/>
      <x:c r="D10" s="117"/>
      <x:c r="E10" s="117"/>
      <x:c r="F10" s="117"/>
      <x:c r="G10" s="117"/>
      <x:c r="H10" s="117"/>
      <x:c r="I10" s="117"/>
      <x:c r="J10" s="117"/>
      <x:c r="K10" s="117"/>
      <x:c r="L10" s="117"/>
      <x:c r="M10" s="117"/>
      <x:c r="N10" s="117"/>
      <x:c r="O10" s="117"/>
      <x:c r="P10" s="117"/>
      <x:c r="Q10" s="117"/>
      <x:c r="R10" s="117"/>
      <x:c r="S10" s="117"/>
      <x:c r="T10" s="117"/>
      <x:c r="U10" s="117"/>
      <x:c r="V10" s="117"/>
      <x:c r="W10" s="117"/>
      <x:c r="X10" s="117"/>
      <x:c r="Y10" s="117"/>
    </x:row>
    <x:row r="11">
      <x:c r="A11" s="117"/>
      <x:c r="B11" s="117"/>
      <x:c r="C11" s="117"/>
      <x:c r="D11" s="117"/>
      <x:c r="E11" s="117"/>
      <x:c r="F11" s="117"/>
      <x:c r="G11" s="117"/>
      <x:c r="H11" s="117"/>
      <x:c r="I11" s="117"/>
      <x:c r="J11" s="117"/>
      <x:c r="K11" s="117"/>
      <x:c r="L11" s="117"/>
      <x:c r="M11" s="117"/>
      <x:c r="N11" s="117"/>
      <x:c r="O11" s="117"/>
      <x:c r="P11" s="117"/>
      <x:c r="Q11" s="117"/>
      <x:c r="R11" s="117"/>
      <x:c r="S11" s="117"/>
      <x:c r="T11" s="117"/>
      <x:c r="U11" s="117"/>
      <x:c r="V11" s="117"/>
      <x:c r="W11" s="117"/>
      <x:c r="X11" s="117"/>
      <x:c r="Y11" s="117"/>
    </x:row>
    <x:row r="12">
      <x:c r="A12" s="117"/>
      <x:c r="B12" s="117"/>
      <x:c r="C12" s="117"/>
      <x:c r="D12" s="117"/>
      <x:c r="E12" s="117"/>
      <x:c r="F12" s="117"/>
      <x:c r="G12" s="117"/>
      <x:c r="H12" s="117"/>
      <x:c r="I12" s="117"/>
      <x:c r="J12" s="117"/>
      <x:c r="K12" s="117"/>
      <x:c r="L12" s="117"/>
      <x:c r="M12" s="117"/>
      <x:c r="N12" s="117"/>
      <x:c r="O12" s="117"/>
      <x:c r="P12" s="117"/>
      <x:c r="Q12" s="117"/>
      <x:c r="R12" s="117"/>
      <x:c r="S12" s="117"/>
      <x:c r="T12" s="117"/>
      <x:c r="U12" s="117"/>
      <x:c r="V12" s="117"/>
      <x:c r="W12" s="117"/>
      <x:c r="X12" s="117"/>
      <x:c r="Y12" s="117"/>
    </x:row>
    <x:row r="13">
      <x:c r="A13" s="117"/>
      <x:c r="B13" s="117"/>
      <x:c r="C13" s="117"/>
      <x:c r="D13" s="117"/>
      <x:c r="E13" s="117"/>
      <x:c r="F13" s="117"/>
      <x:c r="G13" s="117"/>
      <x:c r="H13" s="117"/>
      <x:c r="I13" s="117"/>
      <x:c r="J13" s="117"/>
      <x:c r="K13" s="117"/>
      <x:c r="L13" s="117"/>
      <x:c r="M13" s="117"/>
      <x:c r="N13" s="117"/>
      <x:c r="O13" s="117"/>
      <x:c r="P13" s="117"/>
      <x:c r="Q13" s="117"/>
      <x:c r="R13" s="117"/>
      <x:c r="S13" s="117"/>
      <x:c r="T13" s="117"/>
      <x:c r="U13" s="117"/>
      <x:c r="V13" s="117"/>
      <x:c r="W13" s="117"/>
      <x:c r="X13" s="117"/>
      <x:c r="Y13" s="117"/>
    </x:row>
    <x:row r="14">
      <x:c r="A14" s="117"/>
      <x:c r="B14" s="117"/>
      <x:c r="C14" s="117"/>
      <x:c r="D14" s="117"/>
      <x:c r="E14" s="117"/>
      <x:c r="F14" s="117"/>
      <x:c r="G14" s="117"/>
      <x:c r="H14" s="117"/>
      <x:c r="I14" s="117"/>
      <x:c r="J14" s="117"/>
      <x:c r="K14" s="117"/>
      <x:c r="L14" s="117"/>
      <x:c r="M14" s="117"/>
      <x:c r="N14" s="117"/>
      <x:c r="O14" s="117"/>
      <x:c r="P14" s="117"/>
      <x:c r="Q14" s="117"/>
      <x:c r="R14" s="117"/>
      <x:c r="S14" s="117"/>
      <x:c r="T14" s="117"/>
      <x:c r="U14" s="117"/>
      <x:c r="V14" s="117"/>
      <x:c r="W14" s="117"/>
      <x:c r="X14" s="117"/>
      <x:c r="Y14" s="117"/>
    </x:row>
    <x:row r="15">
      <x:c r="A15" s="117"/>
      <x:c r="B15" s="117"/>
      <x:c r="C15" s="117"/>
      <x:c r="D15" s="117"/>
      <x:c r="E15" s="117"/>
      <x:c r="F15" s="117"/>
      <x:c r="G15" s="117"/>
      <x:c r="H15" s="117"/>
      <x:c r="I15" s="117"/>
      <x:c r="J15" s="117"/>
      <x:c r="K15" s="117"/>
      <x:c r="L15" s="117"/>
      <x:c r="M15" s="117"/>
      <x:c r="N15" s="117"/>
      <x:c r="O15" s="117"/>
      <x:c r="P15" s="117"/>
      <x:c r="Q15" s="117"/>
      <x:c r="R15" s="117"/>
      <x:c r="S15" s="117"/>
      <x:c r="T15" s="117"/>
      <x:c r="U15" s="117"/>
      <x:c r="V15" s="117"/>
      <x:c r="W15" s="117"/>
      <x:c r="X15" s="117"/>
      <x:c r="Y15" s="117"/>
    </x:row>
    <x:row r="16">
      <x:c r="A16" s="117"/>
      <x:c r="B16" s="117"/>
      <x:c r="C16" s="117"/>
      <x:c r="D16" s="117"/>
      <x:c r="E16" s="117"/>
      <x:c r="F16" s="117"/>
      <x:c r="G16" s="117"/>
      <x:c r="H16" s="117"/>
      <x:c r="I16" s="117"/>
      <x:c r="J16" s="117"/>
      <x:c r="K16" s="117"/>
      <x:c r="L16" s="117"/>
      <x:c r="M16" s="117"/>
      <x:c r="N16" s="117"/>
      <x:c r="O16" s="117"/>
      <x:c r="P16" s="117"/>
      <x:c r="Q16" s="117"/>
      <x:c r="R16" s="117"/>
      <x:c r="S16" s="117"/>
      <x:c r="T16" s="117"/>
      <x:c r="U16" s="117"/>
      <x:c r="V16" s="117"/>
      <x:c r="W16" s="117"/>
      <x:c r="X16" s="117"/>
      <x:c r="Y16" s="117"/>
    </x:row>
    <x:row r="17">
      <x:c r="A17" s="117"/>
      <x:c r="B17" s="117"/>
      <x:c r="C17" s="117"/>
      <x:c r="D17" s="117"/>
      <x:c r="E17" s="117"/>
      <x:c r="F17" s="117"/>
      <x:c r="G17" s="117"/>
      <x:c r="H17" s="117"/>
      <x:c r="I17" s="117"/>
      <x:c r="J17" s="117"/>
      <x:c r="K17" s="117"/>
      <x:c r="L17" s="117"/>
      <x:c r="M17" s="117"/>
      <x:c r="N17" s="117"/>
      <x:c r="O17" s="117"/>
      <x:c r="P17" s="117"/>
      <x:c r="Q17" s="117"/>
      <x:c r="R17" s="117"/>
      <x:c r="S17" s="117"/>
      <x:c r="T17" s="117"/>
      <x:c r="U17" s="117"/>
      <x:c r="V17" s="117"/>
      <x:c r="W17" s="117"/>
      <x:c r="X17" s="117"/>
      <x:c r="Y17" s="117"/>
    </x:row>
    <x:row r="18">
      <x:c r="A18" s="117"/>
      <x:c r="B18" s="117"/>
      <x:c r="C18" s="117"/>
      <x:c r="D18" s="117"/>
      <x:c r="E18" s="117"/>
      <x:c r="F18" s="117"/>
      <x:c r="G18" s="117"/>
      <x:c r="H18" s="117"/>
      <x:c r="I18" s="117"/>
      <x:c r="J18" s="117"/>
      <x:c r="K18" s="117"/>
      <x:c r="L18" s="117"/>
      <x:c r="M18" s="117"/>
      <x:c r="N18" s="117"/>
      <x:c r="O18" s="117"/>
      <x:c r="P18" s="117"/>
      <x:c r="Q18" s="117"/>
      <x:c r="R18" s="117"/>
      <x:c r="S18" s="117"/>
      <x:c r="T18" s="117"/>
      <x:c r="U18" s="117"/>
      <x:c r="V18" s="117"/>
      <x:c r="W18" s="117"/>
      <x:c r="X18" s="117"/>
      <x:c r="Y18" s="117"/>
    </x:row>
    <x:row r="19">
      <x:c r="A19" s="117"/>
      <x:c r="B19" s="117"/>
      <x:c r="C19" s="117"/>
      <x:c r="D19" s="117"/>
      <x:c r="E19" s="117"/>
      <x:c r="F19" s="117"/>
      <x:c r="G19" s="117"/>
      <x:c r="H19" s="117"/>
      <x:c r="I19" s="117"/>
      <x:c r="J19" s="117"/>
      <x:c r="K19" s="117"/>
      <x:c r="L19" s="117"/>
      <x:c r="M19" s="117"/>
      <x:c r="N19" s="117"/>
      <x:c r="O19" s="117"/>
      <x:c r="P19" s="117"/>
      <x:c r="Q19" s="117"/>
      <x:c r="R19" s="117"/>
      <x:c r="S19" s="117"/>
      <x:c r="T19" s="117"/>
      <x:c r="U19" s="117"/>
      <x:c r="V19" s="117"/>
      <x:c r="W19" s="117"/>
      <x:c r="X19" s="117"/>
      <x:c r="Y19" s="117"/>
    </x:row>
    <x:row r="20">
      <x:c r="A20" s="117"/>
      <x:c r="B20" s="117"/>
      <x:c r="C20" s="117"/>
      <x:c r="D20" s="117"/>
      <x:c r="E20" s="117"/>
      <x:c r="F20" s="117"/>
      <x:c r="G20" s="117"/>
      <x:c r="H20" s="117"/>
      <x:c r="I20" s="117"/>
      <x:c r="J20" s="117"/>
      <x:c r="K20" s="117"/>
      <x:c r="L20" s="117"/>
      <x:c r="M20" s="117"/>
      <x:c r="N20" s="117"/>
      <x:c r="O20" s="117"/>
      <x:c r="P20" s="117"/>
      <x:c r="Q20" s="117"/>
      <x:c r="R20" s="117"/>
      <x:c r="S20" s="117"/>
      <x:c r="T20" s="117"/>
      <x:c r="U20" s="117"/>
      <x:c r="V20" s="117"/>
      <x:c r="W20" s="117"/>
      <x:c r="X20" s="117"/>
      <x:c r="Y20" s="117"/>
    </x:row>
    <x:row r="21">
      <x:c r="A21" s="117"/>
      <x:c r="B21" s="117"/>
      <x:c r="C21" s="117"/>
      <x:c r="D21" s="117"/>
      <x:c r="E21" s="117"/>
      <x:c r="F21" s="117"/>
      <x:c r="G21" s="117"/>
      <x:c r="H21" s="117"/>
      <x:c r="I21" s="117"/>
      <x:c r="J21" s="117"/>
      <x:c r="K21" s="117"/>
      <x:c r="L21" s="117"/>
      <x:c r="M21" s="117"/>
      <x:c r="N21" s="117"/>
      <x:c r="O21" s="117"/>
      <x:c r="P21" s="117"/>
      <x:c r="Q21" s="117"/>
      <x:c r="R21" s="117"/>
      <x:c r="S21" s="117"/>
      <x:c r="T21" s="117"/>
      <x:c r="U21" s="117"/>
      <x:c r="V21" s="117"/>
      <x:c r="W21" s="117"/>
      <x:c r="X21" s="117"/>
      <x:c r="Y21" s="117"/>
    </x:row>
    <x:row r="22">
      <x:c r="A22" s="117"/>
      <x:c r="B22" s="117"/>
      <x:c r="C22" s="117"/>
      <x:c r="D22" s="117"/>
      <x:c r="E22" s="117"/>
      <x:c r="F22" s="117"/>
      <x:c r="G22" s="117"/>
      <x:c r="H22" s="117"/>
      <x:c r="I22" s="117"/>
      <x:c r="J22" s="117"/>
      <x:c r="K22" s="117"/>
      <x:c r="L22" s="117"/>
      <x:c r="M22" s="117"/>
      <x:c r="N22" s="117"/>
      <x:c r="O22" s="117"/>
      <x:c r="P22" s="117"/>
      <x:c r="Q22" s="117"/>
      <x:c r="R22" s="117"/>
      <x:c r="S22" s="117"/>
      <x:c r="T22" s="117"/>
      <x:c r="U22" s="117"/>
      <x:c r="V22" s="117"/>
      <x:c r="W22" s="117"/>
      <x:c r="X22" s="117"/>
      <x:c r="Y22" s="117"/>
    </x:row>
    <x:row r="23">
      <x:c r="A23" s="117"/>
      <x:c r="B23" s="117"/>
      <x:c r="C23" s="117"/>
      <x:c r="D23" s="117"/>
      <x:c r="E23" s="117"/>
      <x:c r="F23" s="117"/>
      <x:c r="G23" s="117"/>
      <x:c r="H23" s="117"/>
      <x:c r="I23" s="117"/>
      <x:c r="J23" s="117"/>
      <x:c r="K23" s="117"/>
      <x:c r="L23" s="117"/>
      <x:c r="M23" s="117"/>
      <x:c r="N23" s="117"/>
      <x:c r="O23" s="117"/>
      <x:c r="P23" s="117"/>
      <x:c r="Q23" s="117"/>
      <x:c r="R23" s="117"/>
      <x:c r="S23" s="117"/>
      <x:c r="T23" s="117"/>
      <x:c r="U23" s="117"/>
      <x:c r="V23" s="117"/>
      <x:c r="W23" s="117"/>
      <x:c r="X23" s="117"/>
      <x:c r="Y23" s="117"/>
    </x:row>
    <x:row r="24">
      <x:c r="A24" s="117"/>
      <x:c r="B24" s="117"/>
      <x:c r="C24" s="117"/>
      <x:c r="D24" s="117"/>
      <x:c r="E24" s="117"/>
      <x:c r="F24" s="117"/>
      <x:c r="G24" s="117"/>
      <x:c r="H24" s="117"/>
      <x:c r="I24" s="117"/>
      <x:c r="J24" s="117"/>
      <x:c r="K24" s="117"/>
      <x:c r="L24" s="117"/>
      <x:c r="M24" s="117"/>
      <x:c r="N24" s="117"/>
      <x:c r="O24" s="117"/>
      <x:c r="P24" s="117"/>
      <x:c r="Q24" s="117"/>
      <x:c r="R24" s="117"/>
      <x:c r="S24" s="117"/>
      <x:c r="T24" s="117"/>
      <x:c r="U24" s="117"/>
      <x:c r="V24" s="117"/>
      <x:c r="W24" s="117"/>
      <x:c r="X24" s="117"/>
      <x:c r="Y24" s="117"/>
    </x:row>
    <x:row r="25">
      <x:c r="A25" s="117"/>
      <x:c r="B25" s="117"/>
      <x:c r="C25" s="117"/>
      <x:c r="D25" s="117"/>
      <x:c r="E25" s="117"/>
      <x:c r="F25" s="117"/>
      <x:c r="G25" s="117"/>
      <x:c r="H25" s="117"/>
      <x:c r="I25" s="117"/>
      <x:c r="J25" s="117"/>
      <x:c r="K25" s="117"/>
      <x:c r="L25" s="117"/>
      <x:c r="M25" s="117"/>
      <x:c r="N25" s="117"/>
      <x:c r="O25" s="117"/>
      <x:c r="P25" s="117"/>
      <x:c r="Q25" s="117"/>
      <x:c r="R25" s="117"/>
      <x:c r="S25" s="117"/>
      <x:c r="T25" s="117"/>
      <x:c r="U25" s="117"/>
      <x:c r="V25" s="117"/>
      <x:c r="W25" s="117"/>
      <x:c r="X25" s="117"/>
      <x:c r="Y25" s="117"/>
    </x:row>
    <x:row r="26">
      <x:c r="A26" s="117"/>
      <x:c r="B26" s="117"/>
      <x:c r="C26" s="117"/>
      <x:c r="D26" s="117"/>
      <x:c r="E26" s="117"/>
      <x:c r="F26" s="117"/>
      <x:c r="G26" s="117"/>
      <x:c r="H26" s="117"/>
      <x:c r="I26" s="117"/>
      <x:c r="J26" s="117"/>
      <x:c r="K26" s="117"/>
      <x:c r="L26" s="117"/>
      <x:c r="M26" s="117"/>
      <x:c r="N26" s="117"/>
      <x:c r="O26" s="117"/>
      <x:c r="P26" s="117"/>
      <x:c r="Q26" s="117"/>
      <x:c r="R26" s="117"/>
      <x:c r="S26" s="117"/>
      <x:c r="T26" s="117"/>
      <x:c r="U26" s="117"/>
      <x:c r="V26" s="117"/>
      <x:c r="W26" s="117"/>
      <x:c r="X26" s="117"/>
      <x:c r="Y26" s="117"/>
    </x:row>
    <x:row r="27">
      <x:c r="A27" s="117"/>
      <x:c r="B27" s="117"/>
      <x:c r="C27" s="117"/>
      <x:c r="D27" s="117"/>
      <x:c r="E27" s="117"/>
      <x:c r="F27" s="117"/>
      <x:c r="G27" s="117"/>
      <x:c r="H27" s="117"/>
      <x:c r="I27" s="117"/>
      <x:c r="J27" s="117"/>
      <x:c r="K27" s="117"/>
      <x:c r="L27" s="117"/>
      <x:c r="M27" s="117"/>
      <x:c r="N27" s="117"/>
      <x:c r="O27" s="117"/>
      <x:c r="P27" s="117"/>
      <x:c r="Q27" s="117"/>
      <x:c r="R27" s="117"/>
      <x:c r="S27" s="117"/>
      <x:c r="T27" s="117"/>
      <x:c r="U27" s="117"/>
      <x:c r="V27" s="117"/>
      <x:c r="W27" s="117"/>
      <x:c r="X27" s="117"/>
      <x:c r="Y27" s="117"/>
    </x:row>
    <x:row r="28">
      <x:c r="A28" s="117"/>
      <x:c r="B28" s="117"/>
      <x:c r="C28" s="117"/>
      <x:c r="D28" s="117"/>
      <x:c r="E28" s="117"/>
      <x:c r="F28" s="117"/>
      <x:c r="G28" s="117"/>
      <x:c r="H28" s="117"/>
      <x:c r="I28" s="117"/>
      <x:c r="J28" s="117"/>
      <x:c r="K28" s="117"/>
      <x:c r="L28" s="117"/>
      <x:c r="M28" s="117"/>
      <x:c r="N28" s="117"/>
      <x:c r="O28" s="117"/>
      <x:c r="P28" s="117"/>
      <x:c r="Q28" s="117"/>
      <x:c r="R28" s="117"/>
      <x:c r="S28" s="117"/>
      <x:c r="T28" s="117"/>
      <x:c r="U28" s="117"/>
      <x:c r="V28" s="117"/>
      <x:c r="W28" s="117"/>
      <x:c r="X28" s="117"/>
      <x:c r="Y28" s="117"/>
    </x:row>
    <x:row r="29">
      <x:c r="A29" s="117"/>
      <x:c r="B29" s="117"/>
      <x:c r="C29" s="117"/>
      <x:c r="D29" s="117"/>
      <x:c r="E29" s="117"/>
      <x:c r="F29" s="117"/>
      <x:c r="G29" s="117"/>
      <x:c r="H29" s="117"/>
      <x:c r="I29" s="117"/>
      <x:c r="J29" s="117"/>
      <x:c r="K29" s="117"/>
      <x:c r="L29" s="117"/>
      <x:c r="M29" s="117"/>
      <x:c r="N29" s="117"/>
      <x:c r="O29" s="117"/>
      <x:c r="P29" s="117"/>
      <x:c r="Q29" s="117"/>
      <x:c r="R29" s="117"/>
      <x:c r="S29" s="117"/>
      <x:c r="T29" s="117"/>
      <x:c r="U29" s="117"/>
      <x:c r="V29" s="117"/>
      <x:c r="W29" s="117"/>
      <x:c r="X29" s="117"/>
      <x:c r="Y29" s="117"/>
    </x:row>
    <x:row r="30">
      <x:c r="A30" s="117"/>
      <x:c r="B30" s="117"/>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row>
    <x:row r="31">
      <x:c r="A31" s="117"/>
      <x:c r="B31" s="117"/>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row>
    <x:row r="32">
      <x:c r="A32" s="117"/>
      <x:c r="B32" s="117"/>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row>
    <x:row r="33">
      <x:c r="A33" s="117"/>
      <x:c r="B33" s="117"/>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row>
    <x:row r="34">
      <x:c r="A34" s="117"/>
      <x:c r="B34" s="117"/>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row>
    <x:row r="35">
      <x:c r="A35" s="117"/>
      <x:c r="B35" s="117"/>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row>
    <x:row r="101">
      <x:c r="A101" s="117"/>
      <x:c r="B101" s="117"/>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row>
    <x:row r="102">
      <x:c r="A102" s="117"/>
      <x:c r="B102" s="117"/>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row>
    <x:row r="103">
      <x:c r="A103" s="117"/>
      <x:c r="B103" s="117"/>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row>
    <x:row r="104">
      <x:c r="A104" s="117"/>
      <x:c r="B104" s="117"/>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row>
    <x:row r="105">
      <x:c r="A105" s="117"/>
      <x:c r="B105" s="117"/>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row>
    <x:row r="106">
      <x:c r="A106" s="117"/>
      <x:c r="B106" s="117"/>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row>
    <x:row r="107">
      <x:c r="A107" s="117"/>
      <x:c r="B107" s="117"/>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row>
    <x:row r="201">
      <x:c r="A201" s="117"/>
      <x:c r="B201" s="117"/>
      <x:c r="C201" s="117"/>
      <x:c r="D201" s="117"/>
      <x:c r="E201" s="117"/>
      <x:c r="F201" s="117"/>
      <x:c r="G201" s="117"/>
      <x:c r="H201" s="117"/>
      <x:c r="I201" s="117"/>
      <x:c r="J201" s="117"/>
      <x:c r="K201" s="117"/>
      <x:c r="L201" s="117"/>
      <x:c r="M201" s="117"/>
      <x:c r="N201" s="117"/>
      <x:c r="O201" s="117"/>
      <x:c r="P201" s="117"/>
      <x:c r="Q201" s="117"/>
      <x:c r="R201" s="117"/>
      <x:c r="S201" s="117"/>
      <x:c r="T201" s="117"/>
      <x:c r="U201" s="117"/>
      <x:c r="V201" s="117"/>
      <x:c r="W201" s="117"/>
      <x:c r="X201" s="117"/>
      <x:c r="Y201" s="117"/>
    </x:row>
    <x:row r="202">
      <x:c r="A202" s="117"/>
      <x:c r="B202" s="117"/>
      <x:c r="C202" s="117"/>
      <x:c r="D202" s="117"/>
      <x:c r="E202" s="117"/>
      <x:c r="F202" s="117"/>
      <x:c r="G202" s="117"/>
      <x:c r="H202" s="117"/>
      <x:c r="I202" s="117"/>
      <x:c r="J202" s="117"/>
      <x:c r="K202" s="117"/>
      <x:c r="L202" s="117"/>
      <x:c r="M202" s="117"/>
      <x:c r="N202" s="117"/>
      <x:c r="O202" s="117"/>
      <x:c r="P202" s="117"/>
      <x:c r="Q202" s="117"/>
      <x:c r="R202" s="117"/>
      <x:c r="S202" s="117"/>
      <x:c r="T202" s="117"/>
      <x:c r="U202" s="117"/>
      <x:c r="V202" s="117"/>
      <x:c r="W202" s="117"/>
      <x:c r="X202" s="117"/>
      <x:c r="Y202" s="117"/>
    </x:row>
    <x:row r="203">
      <x:c r="A203" s="117"/>
      <x:c r="B203" s="117"/>
      <x:c r="C203" s="117"/>
      <x:c r="D203" s="117"/>
      <x:c r="E203" s="117"/>
      <x:c r="F203" s="117"/>
      <x:c r="G203" s="117"/>
      <x:c r="H203" s="117"/>
      <x:c r="I203" s="117"/>
      <x:c r="J203" s="117"/>
      <x:c r="K203" s="117"/>
      <x:c r="L203" s="117"/>
      <x:c r="M203" s="117"/>
      <x:c r="N203" s="117"/>
      <x:c r="O203" s="117"/>
      <x:c r="P203" s="117"/>
      <x:c r="Q203" s="117"/>
      <x:c r="R203" s="117"/>
      <x:c r="S203" s="117"/>
      <x:c r="T203" s="117"/>
      <x:c r="U203" s="117"/>
      <x:c r="V203" s="117"/>
      <x:c r="W203" s="117"/>
      <x:c r="X203" s="117"/>
      <x:c r="Y203" s="117"/>
    </x:row>
    <x:row r="204">
      <x:c r="A204" s="117"/>
      <x:c r="B204" s="117"/>
      <x:c r="C204" s="117"/>
      <x:c r="D204" s="117"/>
      <x:c r="E204" s="117"/>
      <x:c r="F204" s="117"/>
      <x:c r="G204" s="117"/>
      <x:c r="H204" s="117"/>
      <x:c r="I204" s="117"/>
      <x:c r="J204" s="117"/>
      <x:c r="K204" s="117"/>
      <x:c r="L204" s="117"/>
      <x:c r="M204" s="117"/>
      <x:c r="N204" s="117"/>
      <x:c r="O204" s="117"/>
      <x:c r="P204" s="117"/>
      <x:c r="Q204" s="117"/>
      <x:c r="R204" s="117"/>
      <x:c r="S204" s="117"/>
      <x:c r="T204" s="117"/>
      <x:c r="U204" s="117"/>
      <x:c r="V204" s="117"/>
      <x:c r="W204" s="117"/>
      <x:c r="X204" s="117"/>
      <x:c r="Y204" s="117"/>
    </x:row>
    <x:row r="205">
      <x:c r="A205" s="117"/>
      <x:c r="B205" s="117"/>
      <x:c r="C205" s="117"/>
      <x:c r="D205" s="117"/>
      <x:c r="E205" s="117"/>
      <x:c r="F205" s="117"/>
      <x:c r="G205" s="117"/>
      <x:c r="H205" s="117"/>
      <x:c r="I205" s="117"/>
      <x:c r="J205" s="117"/>
      <x:c r="K205" s="117"/>
      <x:c r="L205" s="117"/>
      <x:c r="M205" s="117"/>
      <x:c r="N205" s="117"/>
      <x:c r="O205" s="117"/>
      <x:c r="P205" s="117"/>
      <x:c r="Q205" s="117"/>
      <x:c r="R205" s="117"/>
      <x:c r="S205" s="117"/>
      <x:c r="T205" s="117"/>
      <x:c r="U205" s="117"/>
      <x:c r="V205" s="117"/>
      <x:c r="W205" s="117"/>
      <x:c r="X205" s="117"/>
      <x:c r="Y205" s="117"/>
    </x:row>
    <x:row r="206">
      <x:c r="A206" s="117"/>
      <x:c r="B206" s="117"/>
      <x:c r="C206" s="117"/>
      <x:c r="D206" s="117"/>
      <x:c r="E206" s="117"/>
      <x:c r="F206" s="117"/>
      <x:c r="G206" s="117"/>
      <x:c r="H206" s="117"/>
      <x:c r="I206" s="117"/>
      <x:c r="J206" s="117"/>
      <x:c r="K206" s="117"/>
      <x:c r="L206" s="117"/>
      <x:c r="M206" s="117"/>
      <x:c r="N206" s="117"/>
      <x:c r="O206" s="117"/>
      <x:c r="P206" s="117"/>
      <x:c r="Q206" s="117"/>
      <x:c r="R206" s="117"/>
      <x:c r="S206" s="117"/>
      <x:c r="T206" s="117"/>
      <x:c r="U206" s="117"/>
      <x:c r="V206" s="117"/>
      <x:c r="W206" s="117"/>
      <x:c r="X206" s="117"/>
      <x:c r="Y206" s="117"/>
    </x:row>
    <x:row r="207">
      <x:c r="A207" s="117"/>
      <x:c r="B207" s="117"/>
      <x:c r="C207" s="117"/>
      <x:c r="D207" s="117"/>
      <x:c r="E207" s="117"/>
      <x:c r="F207" s="117"/>
      <x:c r="G207" s="117"/>
      <x:c r="H207" s="117"/>
      <x:c r="I207" s="117"/>
      <x:c r="J207" s="117"/>
      <x:c r="K207" s="117"/>
      <x:c r="L207" s="117"/>
      <x:c r="M207" s="117"/>
      <x:c r="N207" s="117"/>
      <x:c r="O207" s="117"/>
      <x:c r="P207" s="117"/>
      <x:c r="Q207" s="117"/>
      <x:c r="R207" s="117"/>
      <x:c r="S207" s="117"/>
      <x:c r="T207" s="117"/>
      <x:c r="U207" s="117"/>
      <x:c r="V207" s="117"/>
      <x:c r="W207" s="117"/>
      <x:c r="X207" s="117"/>
      <x:c r="Y207" s="117"/>
    </x:row>
    <x:row r="208">
      <x:c r="A208" s="117"/>
      <x:c r="B208" s="117"/>
      <x:c r="C208" s="117"/>
      <x:c r="D208" s="117"/>
      <x:c r="E208" s="117"/>
      <x:c r="F208" s="117"/>
      <x:c r="G208" s="117"/>
      <x:c r="H208" s="117"/>
      <x:c r="I208" s="117"/>
      <x:c r="J208" s="117"/>
      <x:c r="K208" s="117"/>
      <x:c r="L208" s="117"/>
      <x:c r="M208" s="117"/>
      <x:c r="N208" s="117"/>
      <x:c r="O208" s="117"/>
      <x:c r="P208" s="117"/>
      <x:c r="Q208" s="117"/>
      <x:c r="R208" s="117"/>
      <x:c r="S208" s="117"/>
      <x:c r="T208" s="117"/>
      <x:c r="U208" s="117"/>
      <x:c r="V208" s="117"/>
      <x:c r="W208" s="117"/>
      <x:c r="X208" s="117"/>
      <x:c r="Y208" s="117"/>
    </x:row>
    <x:row r="209">
      <x:c r="A209" s="117"/>
      <x:c r="B209" s="117"/>
      <x:c r="C209" s="117"/>
      <x:c r="D209" s="117"/>
      <x:c r="E209" s="117"/>
      <x:c r="F209" s="117"/>
      <x:c r="G209" s="117"/>
      <x:c r="H209" s="117"/>
      <x:c r="I209" s="117"/>
      <x:c r="J209" s="117"/>
      <x:c r="K209" s="117"/>
      <x:c r="L209" s="117"/>
      <x:c r="M209" s="117"/>
      <x:c r="N209" s="117"/>
      <x:c r="O209" s="117"/>
      <x:c r="P209" s="117"/>
      <x:c r="Q209" s="117"/>
      <x:c r="R209" s="117"/>
      <x:c r="S209" s="117"/>
      <x:c r="T209" s="117"/>
      <x:c r="U209" s="117"/>
      <x:c r="V209" s="117"/>
      <x:c r="W209" s="117"/>
      <x:c r="X209" s="117"/>
      <x:c r="Y209" s="117"/>
    </x:row>
    <x:row r="210">
      <x:c r="A210" s="117"/>
      <x:c r="B210" s="117"/>
      <x:c r="C210" s="117"/>
      <x:c r="D210" s="117"/>
      <x:c r="E210" s="117"/>
      <x:c r="F210" s="117"/>
      <x:c r="G210" s="117"/>
      <x:c r="H210" s="117"/>
      <x:c r="I210" s="117"/>
      <x:c r="J210" s="117"/>
      <x:c r="K210" s="117"/>
      <x:c r="L210" s="117"/>
      <x:c r="M210" s="117"/>
      <x:c r="N210" s="117"/>
      <x:c r="O210" s="117"/>
      <x:c r="P210" s="117"/>
      <x:c r="Q210" s="117"/>
      <x:c r="R210" s="117"/>
      <x:c r="S210" s="117"/>
      <x:c r="T210" s="117"/>
      <x:c r="U210" s="117"/>
      <x:c r="V210" s="117"/>
      <x:c r="W210" s="117"/>
      <x:c r="X210" s="117"/>
      <x:c r="Y210" s="117"/>
    </x:row>
    <x:row r="211">
      <x:c r="A211" s="117"/>
      <x:c r="B211" s="117"/>
      <x:c r="C211" s="117"/>
      <x:c r="D211" s="117"/>
      <x:c r="E211" s="117"/>
      <x:c r="F211" s="117"/>
      <x:c r="G211" s="117"/>
      <x:c r="H211" s="117"/>
      <x:c r="I211" s="117"/>
      <x:c r="J211" s="117"/>
      <x:c r="K211" s="117"/>
      <x:c r="L211" s="117"/>
      <x:c r="M211" s="117"/>
      <x:c r="N211" s="117"/>
      <x:c r="O211" s="117"/>
      <x:c r="P211" s="117"/>
      <x:c r="Q211" s="117"/>
      <x:c r="R211" s="117"/>
      <x:c r="S211" s="117"/>
      <x:c r="T211" s="117"/>
      <x:c r="U211" s="117"/>
      <x:c r="V211" s="117"/>
      <x:c r="W211" s="117"/>
      <x:c r="X211" s="117"/>
      <x:c r="Y211" s="117"/>
    </x:row>
    <x:row r="212">
      <x:c r="A212" s="117"/>
      <x:c r="B212" s="117"/>
      <x:c r="C212" s="117"/>
      <x:c r="D212" s="117"/>
      <x:c r="E212" s="117"/>
      <x:c r="F212" s="117"/>
      <x:c r="G212" s="117"/>
      <x:c r="H212" s="117"/>
      <x:c r="I212" s="117"/>
      <x:c r="J212" s="117"/>
      <x:c r="K212" s="117"/>
      <x:c r="L212" s="117"/>
      <x:c r="M212" s="117"/>
      <x:c r="N212" s="117"/>
      <x:c r="O212" s="117"/>
      <x:c r="P212" s="117"/>
      <x:c r="Q212" s="117"/>
      <x:c r="R212" s="117"/>
      <x:c r="S212" s="117"/>
      <x:c r="T212" s="117"/>
      <x:c r="U212" s="117"/>
      <x:c r="V212" s="117"/>
      <x:c r="W212" s="117"/>
      <x:c r="X212" s="117"/>
      <x:c r="Y212" s="117"/>
    </x:row>
    <x:row r="213">
      <x:c r="A213" s="117"/>
      <x:c r="B213" s="117"/>
      <x:c r="C213" s="117"/>
      <x:c r="D213" s="117"/>
      <x:c r="E213" s="117"/>
      <x:c r="F213" s="117"/>
      <x:c r="G213" s="117"/>
      <x:c r="H213" s="117"/>
      <x:c r="I213" s="117"/>
      <x:c r="J213" s="117"/>
      <x:c r="K213" s="117"/>
      <x:c r="L213" s="117"/>
      <x:c r="M213" s="117"/>
      <x:c r="N213" s="117"/>
      <x:c r="O213" s="117"/>
      <x:c r="P213" s="117"/>
      <x:c r="Q213" s="117"/>
      <x:c r="R213" s="117"/>
      <x:c r="S213" s="117"/>
      <x:c r="T213" s="117"/>
      <x:c r="U213" s="117"/>
      <x:c r="V213" s="117"/>
      <x:c r="W213" s="117"/>
      <x:c r="X213" s="117"/>
      <x:c r="Y213" s="117"/>
    </x:row>
    <x:row r="214">
      <x:c r="A214" s="117"/>
      <x:c r="B214" s="117"/>
      <x:c r="C214" s="117"/>
      <x:c r="D214" s="117"/>
      <x:c r="E214" s="117"/>
      <x:c r="F214" s="117"/>
      <x:c r="G214" s="117"/>
      <x:c r="H214" s="117"/>
      <x:c r="I214" s="117"/>
      <x:c r="J214" s="117"/>
      <x:c r="K214" s="117"/>
      <x:c r="L214" s="117"/>
      <x:c r="M214" s="117"/>
      <x:c r="N214" s="117"/>
      <x:c r="O214" s="117"/>
      <x:c r="P214" s="117"/>
      <x:c r="Q214" s="117"/>
      <x:c r="R214" s="117"/>
      <x:c r="S214" s="117"/>
      <x:c r="T214" s="117"/>
      <x:c r="U214" s="117"/>
      <x:c r="V214" s="117"/>
      <x:c r="W214" s="117"/>
      <x:c r="X214" s="117"/>
      <x:c r="Y214" s="117"/>
    </x:row>
    <x:row r="215">
      <x:c r="A215" s="117"/>
      <x:c r="B215" s="117"/>
      <x:c r="C215" s="117"/>
      <x:c r="D215" s="117"/>
      <x:c r="E215" s="117"/>
      <x:c r="F215" s="117"/>
      <x:c r="G215" s="117"/>
      <x:c r="H215" s="117"/>
      <x:c r="I215" s="117"/>
      <x:c r="J215" s="117"/>
      <x:c r="K215" s="117"/>
      <x:c r="L215" s="117"/>
      <x:c r="M215" s="117"/>
      <x:c r="N215" s="117"/>
      <x:c r="O215" s="117"/>
      <x:c r="P215" s="117"/>
      <x:c r="Q215" s="117"/>
      <x:c r="R215" s="117"/>
      <x:c r="S215" s="117"/>
      <x:c r="T215" s="117"/>
      <x:c r="U215" s="117"/>
      <x:c r="V215" s="117"/>
      <x:c r="W215" s="117"/>
      <x:c r="X215" s="117"/>
      <x:c r="Y215" s="117"/>
    </x:row>
    <x:row r="216">
      <x:c r="A216" s="117"/>
      <x:c r="B216" s="117"/>
      <x:c r="C216" s="117"/>
      <x:c r="D216" s="117"/>
      <x:c r="E216" s="117"/>
      <x:c r="F216" s="117"/>
      <x:c r="G216" s="117"/>
      <x:c r="H216" s="117"/>
      <x:c r="I216" s="117"/>
      <x:c r="J216" s="117"/>
      <x:c r="K216" s="117"/>
      <x:c r="L216" s="117"/>
      <x:c r="M216" s="117"/>
      <x:c r="N216" s="117"/>
      <x:c r="O216" s="117"/>
      <x:c r="P216" s="117"/>
      <x:c r="Q216" s="117"/>
      <x:c r="R216" s="117"/>
      <x:c r="S216" s="117"/>
      <x:c r="T216" s="117"/>
      <x:c r="U216" s="117"/>
      <x:c r="V216" s="117"/>
      <x:c r="W216" s="117"/>
      <x:c r="X216" s="117"/>
      <x:c r="Y216" s="117"/>
    </x:row>
    <x:row r="217">
      <x:c r="A217" s="117"/>
      <x:c r="B217" s="117"/>
      <x:c r="C217" s="117"/>
      <x:c r="D217" s="117"/>
      <x:c r="E217" s="117"/>
      <x:c r="F217" s="117"/>
      <x:c r="G217" s="117"/>
      <x:c r="H217" s="117"/>
      <x:c r="I217" s="117"/>
      <x:c r="J217" s="117"/>
      <x:c r="K217" s="117"/>
      <x:c r="L217" s="117"/>
      <x:c r="M217" s="117"/>
      <x:c r="N217" s="117"/>
      <x:c r="O217" s="117"/>
      <x:c r="P217" s="117"/>
      <x:c r="Q217" s="117"/>
      <x:c r="R217" s="117"/>
      <x:c r="S217" s="117"/>
      <x:c r="T217" s="117"/>
      <x:c r="U217" s="117"/>
      <x:c r="V217" s="117"/>
      <x:c r="W217" s="117"/>
      <x:c r="X217" s="117"/>
      <x:c r="Y217" s="117"/>
    </x:row>
    <x:row r="218">
      <x:c r="A218" s="117"/>
      <x:c r="B218" s="117"/>
      <x:c r="C218" s="117"/>
      <x:c r="D218" s="117"/>
      <x:c r="E218" s="117"/>
      <x:c r="F218" s="117"/>
      <x:c r="G218" s="117"/>
      <x:c r="H218" s="117"/>
      <x:c r="I218" s="117"/>
      <x:c r="J218" s="117"/>
      <x:c r="K218" s="117"/>
      <x:c r="L218" s="117"/>
      <x:c r="M218" s="117"/>
      <x:c r="N218" s="117"/>
      <x:c r="O218" s="117"/>
      <x:c r="P218" s="117"/>
      <x:c r="Q218" s="117"/>
      <x:c r="R218" s="117"/>
      <x:c r="S218" s="117"/>
      <x:c r="T218" s="117"/>
      <x:c r="U218" s="117"/>
      <x:c r="V218" s="117"/>
      <x:c r="W218" s="117"/>
      <x:c r="X218" s="117"/>
      <x:c r="Y218" s="117"/>
    </x:row>
    <x:row r="219">
      <x:c r="A219" s="117"/>
      <x:c r="B219" s="117"/>
      <x:c r="C219" s="117"/>
      <x:c r="D219" s="117"/>
      <x:c r="E219" s="117"/>
      <x:c r="F219" s="117"/>
      <x:c r="G219" s="117"/>
      <x:c r="H219" s="117"/>
      <x:c r="I219" s="117"/>
      <x:c r="J219" s="117"/>
      <x:c r="K219" s="117"/>
      <x:c r="L219" s="117"/>
      <x:c r="M219" s="117"/>
      <x:c r="N219" s="117"/>
      <x:c r="O219" s="117"/>
      <x:c r="P219" s="117"/>
      <x:c r="Q219" s="117"/>
      <x:c r="R219" s="117"/>
      <x:c r="S219" s="117"/>
      <x:c r="T219" s="117"/>
      <x:c r="U219" s="117"/>
      <x:c r="V219" s="117"/>
      <x:c r="W219" s="117"/>
      <x:c r="X219" s="117"/>
      <x:c r="Y219" s="117"/>
    </x:row>
    <x:row r="220">
      <x:c r="A220" s="117"/>
      <x:c r="B220" s="117"/>
      <x:c r="C220" s="117"/>
      <x:c r="D220" s="117"/>
      <x:c r="E220" s="117"/>
      <x:c r="F220" s="117"/>
      <x:c r="G220" s="117"/>
      <x:c r="H220" s="117"/>
      <x:c r="I220" s="117"/>
      <x:c r="J220" s="117"/>
      <x:c r="K220" s="117"/>
      <x:c r="L220" s="117"/>
      <x:c r="M220" s="117"/>
      <x:c r="N220" s="117"/>
      <x:c r="O220" s="117"/>
      <x:c r="P220" s="117"/>
      <x:c r="Q220" s="117"/>
      <x:c r="R220" s="117"/>
      <x:c r="S220" s="117"/>
      <x:c r="T220" s="117"/>
      <x:c r="U220" s="117"/>
      <x:c r="V220" s="117"/>
      <x:c r="W220" s="117"/>
      <x:c r="X220" s="117"/>
      <x:c r="Y220" s="117"/>
    </x:row>
    <x:row r="221">
      <x:c r="A221" s="117"/>
      <x:c r="B221" s="117"/>
      <x:c r="C221" s="117"/>
      <x:c r="D221" s="117"/>
      <x:c r="E221" s="117"/>
      <x:c r="F221" s="117"/>
      <x:c r="G221" s="117"/>
      <x:c r="H221" s="117"/>
      <x:c r="I221" s="117"/>
      <x:c r="J221" s="117"/>
      <x:c r="K221" s="117"/>
      <x:c r="L221" s="117"/>
      <x:c r="M221" s="117"/>
      <x:c r="N221" s="117"/>
      <x:c r="O221" s="117"/>
      <x:c r="P221" s="117"/>
      <x:c r="Q221" s="117"/>
      <x:c r="R221" s="117"/>
      <x:c r="S221" s="117"/>
      <x:c r="T221" s="117"/>
      <x:c r="U221" s="117"/>
      <x:c r="V221" s="117"/>
      <x:c r="W221" s="117"/>
      <x:c r="X221" s="117"/>
      <x:c r="Y221" s="117"/>
    </x:row>
    <x:row r="222">
      <x:c r="A222" s="117"/>
      <x:c r="B222" s="117"/>
      <x:c r="C222" s="117"/>
      <x:c r="D222" s="117"/>
      <x:c r="E222" s="117"/>
      <x:c r="F222" s="117"/>
      <x:c r="G222" s="117"/>
      <x:c r="H222" s="117"/>
      <x:c r="I222" s="117"/>
      <x:c r="J222" s="117"/>
      <x:c r="K222" s="117"/>
      <x:c r="L222" s="117"/>
      <x:c r="M222" s="117"/>
      <x:c r="N222" s="117"/>
      <x:c r="O222" s="117"/>
      <x:c r="P222" s="117"/>
      <x:c r="Q222" s="117"/>
      <x:c r="R222" s="117"/>
      <x:c r="S222" s="117"/>
      <x:c r="T222" s="117"/>
      <x:c r="U222" s="117"/>
      <x:c r="V222" s="117"/>
      <x:c r="W222" s="117"/>
      <x:c r="X222" s="117"/>
      <x:c r="Y222" s="117"/>
    </x:row>
    <x:row r="223">
      <x:c r="A223" s="117"/>
      <x:c r="B223" s="117"/>
      <x:c r="C223" s="117"/>
      <x:c r="D223" s="117"/>
      <x:c r="E223" s="117"/>
      <x:c r="F223" s="117"/>
      <x:c r="G223" s="117"/>
      <x:c r="H223" s="117"/>
      <x:c r="I223" s="117"/>
      <x:c r="J223" s="117"/>
      <x:c r="K223" s="117"/>
      <x:c r="L223" s="117"/>
      <x:c r="M223" s="117"/>
      <x:c r="N223" s="117"/>
      <x:c r="O223" s="117"/>
      <x:c r="P223" s="117"/>
      <x:c r="Q223" s="117"/>
      <x:c r="R223" s="117"/>
      <x:c r="S223" s="117"/>
      <x:c r="T223" s="117"/>
      <x:c r="U223" s="117"/>
      <x:c r="V223" s="117"/>
      <x:c r="W223" s="117"/>
      <x:c r="X223" s="117"/>
      <x:c r="Y223" s="117"/>
    </x:row>
    <x:row r="224">
      <x:c r="A224" s="117"/>
      <x:c r="B224" s="117"/>
      <x:c r="C224" s="117"/>
      <x:c r="D224" s="117"/>
      <x:c r="E224" s="117"/>
      <x:c r="F224" s="117"/>
      <x:c r="G224" s="117"/>
      <x:c r="H224" s="117"/>
      <x:c r="I224" s="117"/>
      <x:c r="J224" s="117"/>
      <x:c r="K224" s="117"/>
      <x:c r="L224" s="117"/>
      <x:c r="M224" s="117"/>
      <x:c r="N224" s="117"/>
      <x:c r="O224" s="117"/>
      <x:c r="P224" s="117"/>
      <x:c r="Q224" s="117"/>
      <x:c r="R224" s="117"/>
      <x:c r="S224" s="117"/>
      <x:c r="T224" s="117"/>
      <x:c r="U224" s="117"/>
      <x:c r="V224" s="117"/>
      <x:c r="W224" s="117"/>
      <x:c r="X224" s="117"/>
      <x:c r="Y224" s="117"/>
    </x:row>
    <x:row r="225">
      <x:c r="A225" s="117"/>
      <x:c r="B225" s="117"/>
      <x:c r="C225" s="117"/>
      <x:c r="D225" s="117"/>
      <x:c r="E225" s="117"/>
      <x:c r="F225" s="117"/>
      <x:c r="G225" s="117"/>
      <x:c r="H225" s="117"/>
      <x:c r="I225" s="117"/>
      <x:c r="J225" s="117"/>
      <x:c r="K225" s="117"/>
      <x:c r="L225" s="117"/>
      <x:c r="M225" s="117"/>
      <x:c r="N225" s="117"/>
      <x:c r="O225" s="117"/>
      <x:c r="P225" s="117"/>
      <x:c r="Q225" s="117"/>
      <x:c r="R225" s="117"/>
      <x:c r="S225" s="117"/>
      <x:c r="T225" s="117"/>
      <x:c r="U225" s="117"/>
      <x:c r="V225" s="117"/>
      <x:c r="W225" s="117"/>
      <x:c r="X225" s="117"/>
      <x:c r="Y225" s="117"/>
    </x:row>
    <x:row r="226">
      <x:c r="A226" s="117"/>
      <x:c r="B226" s="117"/>
      <x:c r="C226" s="117"/>
      <x:c r="D226" s="117"/>
      <x:c r="E226" s="117"/>
      <x:c r="F226" s="117"/>
      <x:c r="G226" s="117"/>
      <x:c r="H226" s="117"/>
      <x:c r="I226" s="117"/>
      <x:c r="J226" s="117"/>
      <x:c r="K226" s="117"/>
      <x:c r="L226" s="117"/>
      <x:c r="M226" s="117"/>
      <x:c r="N226" s="117"/>
      <x:c r="O226" s="117"/>
      <x:c r="P226" s="117"/>
      <x:c r="Q226" s="117"/>
      <x:c r="R226" s="117"/>
      <x:c r="S226" s="117"/>
      <x:c r="T226" s="117"/>
      <x:c r="U226" s="117"/>
      <x:c r="V226" s="117"/>
      <x:c r="W226" s="117"/>
      <x:c r="X226" s="117"/>
      <x:c r="Y226" s="117"/>
    </x:row>
    <x:row r="227">
      <x:c r="A227" s="117"/>
      <x:c r="B227" s="117"/>
      <x:c r="C227" s="117"/>
      <x:c r="D227" s="117"/>
      <x:c r="E227" s="117"/>
      <x:c r="F227" s="117"/>
      <x:c r="G227" s="117"/>
      <x:c r="H227" s="117"/>
      <x:c r="I227" s="117"/>
      <x:c r="J227" s="117"/>
      <x:c r="K227" s="117"/>
      <x:c r="L227" s="117"/>
      <x:c r="M227" s="117"/>
      <x:c r="N227" s="117"/>
      <x:c r="O227" s="117"/>
      <x:c r="P227" s="117"/>
      <x:c r="Q227" s="117"/>
      <x:c r="R227" s="117"/>
      <x:c r="S227" s="117"/>
      <x:c r="T227" s="117"/>
      <x:c r="U227" s="117"/>
      <x:c r="V227" s="117"/>
      <x:c r="W227" s="117"/>
      <x:c r="X227" s="117"/>
      <x:c r="Y227" s="117"/>
    </x:row>
    <x:row r="228">
      <x:c r="A228" s="117"/>
      <x:c r="B228" s="117"/>
      <x:c r="C228" s="117"/>
      <x:c r="D228" s="117"/>
      <x:c r="E228" s="117"/>
      <x:c r="F228" s="117"/>
      <x:c r="G228" s="117"/>
      <x:c r="H228" s="117"/>
      <x:c r="I228" s="117"/>
      <x:c r="J228" s="117"/>
      <x:c r="K228" s="117"/>
      <x:c r="L228" s="117"/>
      <x:c r="M228" s="117"/>
      <x:c r="N228" s="117"/>
      <x:c r="O228" s="117"/>
      <x:c r="P228" s="117"/>
      <x:c r="Q228" s="117"/>
      <x:c r="R228" s="117"/>
      <x:c r="S228" s="117"/>
      <x:c r="T228" s="117"/>
      <x:c r="U228" s="117"/>
      <x:c r="V228" s="117"/>
      <x:c r="W228" s="117"/>
      <x:c r="X228" s="117"/>
      <x:c r="Y228" s="117"/>
    </x:row>
    <x:row r="229">
      <x:c r="A229" s="117"/>
      <x:c r="B229" s="117"/>
      <x:c r="C229" s="117"/>
      <x:c r="D229" s="117"/>
      <x:c r="E229" s="117"/>
      <x:c r="F229" s="117"/>
      <x:c r="G229" s="117"/>
      <x:c r="H229" s="117"/>
      <x:c r="I229" s="117"/>
      <x:c r="J229" s="117"/>
      <x:c r="K229" s="117"/>
      <x:c r="L229" s="117"/>
      <x:c r="M229" s="117"/>
      <x:c r="N229" s="117"/>
      <x:c r="O229" s="117"/>
      <x:c r="P229" s="117"/>
      <x:c r="Q229" s="117"/>
      <x:c r="R229" s="117"/>
      <x:c r="S229" s="117"/>
      <x:c r="T229" s="117"/>
      <x:c r="U229" s="117"/>
      <x:c r="V229" s="117"/>
      <x:c r="W229" s="117"/>
      <x:c r="X229" s="117"/>
      <x:c r="Y229" s="117"/>
    </x:row>
    <x:row r="230">
      <x:c r="A230" s="117"/>
      <x:c r="B230" s="117"/>
      <x:c r="C230" s="117"/>
      <x:c r="D230" s="117"/>
      <x:c r="E230" s="117"/>
      <x:c r="F230" s="117"/>
      <x:c r="G230" s="117"/>
      <x:c r="H230" s="117"/>
      <x:c r="I230" s="117"/>
      <x:c r="J230" s="117"/>
      <x:c r="K230" s="117"/>
      <x:c r="L230" s="117"/>
      <x:c r="M230" s="117"/>
      <x:c r="N230" s="117"/>
      <x:c r="O230" s="117"/>
      <x:c r="P230" s="117"/>
      <x:c r="Q230" s="117"/>
      <x:c r="R230" s="117"/>
      <x:c r="S230" s="117"/>
      <x:c r="T230" s="117"/>
      <x:c r="U230" s="117"/>
      <x:c r="V230" s="117"/>
      <x:c r="W230" s="117"/>
      <x:c r="X230" s="117"/>
      <x:c r="Y230" s="117"/>
    </x:row>
    <x:row r="231">
      <x:c r="A231" s="117"/>
      <x:c r="B231" s="117"/>
      <x:c r="C231" s="117"/>
      <x:c r="D231" s="117"/>
      <x:c r="E231" s="117"/>
      <x:c r="F231" s="117"/>
      <x:c r="G231" s="117"/>
      <x:c r="H231" s="117"/>
      <x:c r="I231" s="117"/>
      <x:c r="J231" s="117"/>
      <x:c r="K231" s="117"/>
      <x:c r="L231" s="117"/>
      <x:c r="M231" s="117"/>
      <x:c r="N231" s="117"/>
      <x:c r="O231" s="117"/>
      <x:c r="P231" s="117"/>
      <x:c r="Q231" s="117"/>
      <x:c r="R231" s="117"/>
      <x:c r="S231" s="117"/>
      <x:c r="T231" s="117"/>
      <x:c r="U231" s="117"/>
      <x:c r="V231" s="117"/>
      <x:c r="W231" s="117"/>
      <x:c r="X231" s="117"/>
      <x:c r="Y231" s="117"/>
    </x:row>
    <x:row r="232">
      <x:c r="A232" s="117"/>
      <x:c r="B232" s="117"/>
      <x:c r="C232" s="117"/>
      <x:c r="D232" s="117"/>
      <x:c r="E232" s="117"/>
      <x:c r="F232" s="117"/>
      <x:c r="G232" s="117"/>
      <x:c r="H232" s="117"/>
      <x:c r="I232" s="117"/>
      <x:c r="J232" s="117"/>
      <x:c r="K232" s="117"/>
      <x:c r="L232" s="117"/>
      <x:c r="M232" s="117"/>
      <x:c r="N232" s="117"/>
      <x:c r="O232" s="117"/>
      <x:c r="P232" s="117"/>
      <x:c r="Q232" s="117"/>
      <x:c r="R232" s="117"/>
      <x:c r="S232" s="117"/>
      <x:c r="T232" s="117"/>
      <x:c r="U232" s="117"/>
      <x:c r="V232" s="117"/>
      <x:c r="W232" s="117"/>
      <x:c r="X232" s="117"/>
      <x:c r="Y232" s="117"/>
    </x:row>
    <x:row r="233">
      <x:c r="A233" s="117"/>
      <x:c r="B233" s="117"/>
      <x:c r="C233" s="117"/>
      <x:c r="D233" s="117"/>
      <x:c r="E233" s="117"/>
      <x:c r="F233" s="117"/>
      <x:c r="G233" s="117"/>
      <x:c r="H233" s="117"/>
      <x:c r="I233" s="117"/>
      <x:c r="J233" s="117"/>
      <x:c r="K233" s="117"/>
      <x:c r="L233" s="117"/>
      <x:c r="M233" s="117"/>
      <x:c r="N233" s="117"/>
      <x:c r="O233" s="117"/>
      <x:c r="P233" s="117"/>
      <x:c r="Q233" s="117"/>
      <x:c r="R233" s="117"/>
      <x:c r="S233" s="117"/>
      <x:c r="T233" s="117"/>
      <x:c r="U233" s="117"/>
      <x:c r="V233" s="117"/>
      <x:c r="W233" s="117"/>
      <x:c r="X233" s="117"/>
      <x:c r="Y233" s="117"/>
    </x:row>
    <x:row r="234">
      <x:c r="A234" s="117"/>
      <x:c r="B234" s="117"/>
      <x:c r="C234" s="117"/>
      <x:c r="D234" s="117"/>
      <x:c r="E234" s="117"/>
      <x:c r="F234" s="117"/>
      <x:c r="G234" s="117"/>
      <x:c r="H234" s="117"/>
      <x:c r="I234" s="117"/>
      <x:c r="J234" s="117"/>
      <x:c r="K234" s="117"/>
      <x:c r="L234" s="117"/>
      <x:c r="M234" s="117"/>
      <x:c r="N234" s="117"/>
      <x:c r="O234" s="117"/>
      <x:c r="P234" s="117"/>
      <x:c r="Q234" s="117"/>
      <x:c r="R234" s="117"/>
      <x:c r="S234" s="117"/>
      <x:c r="T234" s="117"/>
      <x:c r="U234" s="117"/>
      <x:c r="V234" s="117"/>
      <x:c r="W234" s="117"/>
      <x:c r="X234" s="117"/>
      <x:c r="Y234" s="117"/>
    </x:row>
    <x:row r="235">
      <x:c r="A235" s="117"/>
      <x:c r="B235" s="117"/>
      <x:c r="C235" s="117"/>
      <x:c r="D235" s="117"/>
      <x:c r="E235" s="117"/>
      <x:c r="F235" s="117"/>
      <x:c r="G235" s="117"/>
      <x:c r="H235" s="117"/>
      <x:c r="I235" s="117"/>
      <x:c r="J235" s="117"/>
      <x:c r="K235" s="117"/>
      <x:c r="L235" s="117"/>
      <x:c r="M235" s="117"/>
      <x:c r="N235" s="117"/>
      <x:c r="O235" s="117"/>
      <x:c r="P235" s="117"/>
      <x:c r="Q235" s="117"/>
      <x:c r="R235" s="117"/>
      <x:c r="S235" s="117"/>
      <x:c r="T235" s="117"/>
      <x:c r="U235" s="117"/>
      <x:c r="V235" s="117"/>
      <x:c r="W235" s="117"/>
      <x:c r="X235" s="117"/>
      <x:c r="Y235" s="117"/>
    </x:row>
    <x:row r="236">
      <x:c r="A236" s="117"/>
      <x:c r="B236" s="117"/>
      <x:c r="C236" s="117"/>
      <x:c r="D236" s="117"/>
      <x:c r="E236" s="117"/>
      <x:c r="F236" s="117"/>
      <x:c r="G236" s="117"/>
      <x:c r="H236" s="117"/>
      <x:c r="I236" s="117"/>
      <x:c r="J236" s="117"/>
      <x:c r="K236" s="117"/>
      <x:c r="L236" s="117"/>
      <x:c r="M236" s="117"/>
      <x:c r="N236" s="117"/>
      <x:c r="O236" s="117"/>
      <x:c r="P236" s="117"/>
      <x:c r="Q236" s="117"/>
      <x:c r="R236" s="117"/>
      <x:c r="S236" s="117"/>
      <x:c r="T236" s="117"/>
      <x:c r="U236" s="117"/>
      <x:c r="V236" s="117"/>
      <x:c r="W236" s="117"/>
      <x:c r="X236" s="117"/>
      <x:c r="Y236" s="117"/>
    </x:row>
    <x:row r="237">
      <x:c r="A237" s="117"/>
      <x:c r="B237" s="117"/>
      <x:c r="C237" s="117"/>
      <x:c r="D237" s="117"/>
      <x:c r="E237" s="117"/>
      <x:c r="F237" s="117"/>
      <x:c r="G237" s="117"/>
      <x:c r="H237" s="117"/>
      <x:c r="I237" s="117"/>
      <x:c r="J237" s="117"/>
      <x:c r="K237" s="117"/>
      <x:c r="L237" s="117"/>
      <x:c r="M237" s="117"/>
      <x:c r="N237" s="117"/>
      <x:c r="O237" s="117"/>
      <x:c r="P237" s="117"/>
      <x:c r="Q237" s="117"/>
      <x:c r="R237" s="117"/>
      <x:c r="S237" s="117"/>
      <x:c r="T237" s="117"/>
      <x:c r="U237" s="117"/>
      <x:c r="V237" s="117"/>
      <x:c r="W237" s="117"/>
      <x:c r="X237" s="117"/>
      <x:c r="Y237" s="117"/>
    </x:row>
    <x:row r="238">
      <x:c r="A238" s="117"/>
      <x:c r="B238" s="117"/>
      <x:c r="C238" s="117"/>
      <x:c r="D238" s="117"/>
      <x:c r="E238" s="117"/>
      <x:c r="F238" s="117"/>
      <x:c r="G238" s="117"/>
      <x:c r="H238" s="117"/>
      <x:c r="I238" s="117"/>
      <x:c r="J238" s="117"/>
      <x:c r="K238" s="117"/>
      <x:c r="L238" s="117"/>
      <x:c r="M238" s="117"/>
      <x:c r="N238" s="117"/>
      <x:c r="O238" s="117"/>
      <x:c r="P238" s="117"/>
      <x:c r="Q238" s="117"/>
      <x:c r="R238" s="117"/>
      <x:c r="S238" s="117"/>
      <x:c r="T238" s="117"/>
      <x:c r="U238" s="117"/>
      <x:c r="V238" s="117"/>
      <x:c r="W238" s="117"/>
      <x:c r="X238" s="117"/>
      <x:c r="Y238" s="117"/>
    </x:row>
    <x:row r="239">
      <x:c r="A239" s="117"/>
      <x:c r="B239" s="117"/>
      <x:c r="C239" s="117"/>
      <x:c r="D239" s="117"/>
      <x:c r="E239" s="117"/>
      <x:c r="F239" s="117"/>
      <x:c r="G239" s="117"/>
      <x:c r="H239" s="117"/>
      <x:c r="I239" s="117"/>
      <x:c r="J239" s="117"/>
      <x:c r="K239" s="117"/>
      <x:c r="L239" s="117"/>
      <x:c r="M239" s="117"/>
      <x:c r="N239" s="117"/>
      <x:c r="O239" s="117"/>
      <x:c r="P239" s="117"/>
      <x:c r="Q239" s="117"/>
      <x:c r="R239" s="117"/>
      <x:c r="S239" s="117"/>
      <x:c r="T239" s="117"/>
      <x:c r="U239" s="117"/>
      <x:c r="V239" s="117"/>
      <x:c r="W239" s="117"/>
      <x:c r="X239" s="117"/>
      <x:c r="Y239" s="117"/>
    </x:row>
    <x:row r="240">
      <x:c r="A240" s="117"/>
      <x:c r="B240" s="117"/>
      <x:c r="C240" s="117"/>
      <x:c r="D240" s="117"/>
      <x:c r="E240" s="117"/>
      <x:c r="F240" s="117"/>
      <x:c r="G240" s="117"/>
      <x:c r="H240" s="117"/>
      <x:c r="I240" s="117"/>
      <x:c r="J240" s="117"/>
      <x:c r="K240" s="117"/>
      <x:c r="L240" s="117"/>
      <x:c r="M240" s="117"/>
      <x:c r="N240" s="117"/>
      <x:c r="O240" s="117"/>
      <x:c r="P240" s="117"/>
      <x:c r="Q240" s="117"/>
      <x:c r="R240" s="117"/>
      <x:c r="S240" s="117"/>
      <x:c r="T240" s="117"/>
      <x:c r="U240" s="117"/>
      <x:c r="V240" s="117"/>
      <x:c r="W240" s="117"/>
      <x:c r="X240" s="117"/>
      <x:c r="Y240" s="117"/>
    </x:row>
    <x:row r="241">
      <x:c r="A241" s="117"/>
      <x:c r="B241" s="117"/>
      <x:c r="C241" s="117"/>
      <x:c r="D241" s="117"/>
      <x:c r="E241" s="117"/>
      <x:c r="F241" s="117"/>
      <x:c r="G241" s="117"/>
      <x:c r="H241" s="117"/>
      <x:c r="I241" s="117"/>
      <x:c r="J241" s="117"/>
      <x:c r="K241" s="117"/>
      <x:c r="L241" s="117"/>
      <x:c r="M241" s="117"/>
      <x:c r="N241" s="117"/>
      <x:c r="O241" s="117"/>
      <x:c r="P241" s="117"/>
      <x:c r="Q241" s="117"/>
      <x:c r="R241" s="117"/>
      <x:c r="S241" s="117"/>
      <x:c r="T241" s="117"/>
      <x:c r="U241" s="117"/>
      <x:c r="V241" s="117"/>
      <x:c r="W241" s="117"/>
      <x:c r="X241" s="117"/>
      <x:c r="Y241" s="117"/>
    </x:row>
    <x:row r="242">
      <x:c r="A242" s="117"/>
      <x:c r="B242" s="117"/>
      <x:c r="C242" s="117"/>
      <x:c r="D242" s="117"/>
      <x:c r="E242" s="117"/>
      <x:c r="F242" s="117"/>
      <x:c r="G242" s="117"/>
      <x:c r="H242" s="117"/>
      <x:c r="I242" s="117"/>
      <x:c r="J242" s="117"/>
      <x:c r="K242" s="117"/>
      <x:c r="L242" s="117"/>
      <x:c r="M242" s="117"/>
      <x:c r="N242" s="117"/>
      <x:c r="O242" s="117"/>
      <x:c r="P242" s="117"/>
      <x:c r="Q242" s="117"/>
      <x:c r="R242" s="117"/>
      <x:c r="S242" s="117"/>
      <x:c r="T242" s="117"/>
      <x:c r="U242" s="117"/>
      <x:c r="V242" s="117"/>
      <x:c r="W242" s="117"/>
      <x:c r="X242" s="117"/>
      <x:c r="Y242" s="117"/>
    </x:row>
    <x:row r="243">
      <x:c r="A243" s="117"/>
      <x:c r="B243" s="117"/>
      <x:c r="C243" s="117"/>
      <x:c r="D243" s="117"/>
      <x:c r="E243" s="117"/>
      <x:c r="F243" s="117"/>
      <x:c r="G243" s="117"/>
      <x:c r="H243" s="117"/>
      <x:c r="I243" s="117"/>
      <x:c r="J243" s="117"/>
      <x:c r="K243" s="117"/>
      <x:c r="L243" s="117"/>
      <x:c r="M243" s="117"/>
      <x:c r="N243" s="117"/>
      <x:c r="O243" s="117"/>
      <x:c r="P243" s="117"/>
      <x:c r="Q243" s="117"/>
      <x:c r="R243" s="117"/>
      <x:c r="S243" s="117"/>
      <x:c r="T243" s="117"/>
      <x:c r="U243" s="117"/>
      <x:c r="V243" s="117"/>
      <x:c r="W243" s="117"/>
      <x:c r="X243" s="117"/>
      <x:c r="Y243" s="117"/>
    </x:row>
    <x:row r="244">
      <x:c r="A244" s="117"/>
      <x:c r="B244" s="117"/>
      <x:c r="C244" s="117"/>
      <x:c r="D244" s="117"/>
      <x:c r="E244" s="117"/>
      <x:c r="F244" s="117"/>
      <x:c r="G244" s="117"/>
      <x:c r="H244" s="117"/>
      <x:c r="I244" s="117"/>
      <x:c r="J244" s="117"/>
      <x:c r="K244" s="117"/>
      <x:c r="L244" s="117"/>
      <x:c r="M244" s="117"/>
      <x:c r="N244" s="117"/>
      <x:c r="O244" s="117"/>
      <x:c r="P244" s="117"/>
      <x:c r="Q244" s="117"/>
      <x:c r="R244" s="117"/>
      <x:c r="S244" s="117"/>
      <x:c r="T244" s="117"/>
      <x:c r="U244" s="117"/>
      <x:c r="V244" s="117"/>
      <x:c r="W244" s="117"/>
      <x:c r="X244" s="117"/>
      <x:c r="Y244" s="117"/>
    </x:row>
    <x:row r="245">
      <x:c r="A245" s="117"/>
      <x:c r="B245" s="117"/>
      <x:c r="C245" s="117"/>
      <x:c r="D245" s="117"/>
      <x:c r="E245" s="117"/>
      <x:c r="F245" s="117"/>
      <x:c r="G245" s="117"/>
      <x:c r="H245" s="117"/>
      <x:c r="I245" s="117"/>
      <x:c r="J245" s="117"/>
      <x:c r="K245" s="117"/>
      <x:c r="L245" s="117"/>
      <x:c r="M245" s="117"/>
      <x:c r="N245" s="117"/>
      <x:c r="O245" s="117"/>
      <x:c r="P245" s="117"/>
      <x:c r="Q245" s="117"/>
      <x:c r="R245" s="117"/>
      <x:c r="S245" s="117"/>
      <x:c r="T245" s="117"/>
      <x:c r="U245" s="117"/>
      <x:c r="V245" s="117"/>
      <x:c r="W245" s="117"/>
      <x:c r="X245" s="117"/>
      <x:c r="Y245" s="117"/>
    </x:row>
    <x:row r="246">
      <x:c r="A246" s="117"/>
      <x:c r="B246" s="117"/>
      <x:c r="C246" s="117"/>
      <x:c r="D246" s="117"/>
      <x:c r="E246" s="117"/>
      <x:c r="F246" s="117"/>
      <x:c r="G246" s="117"/>
      <x:c r="H246" s="117"/>
      <x:c r="I246" s="117"/>
      <x:c r="J246" s="117"/>
      <x:c r="K246" s="117"/>
      <x:c r="L246" s="117"/>
      <x:c r="M246" s="117"/>
      <x:c r="N246" s="117"/>
      <x:c r="O246" s="117"/>
      <x:c r="P246" s="117"/>
      <x:c r="Q246" s="117"/>
      <x:c r="R246" s="117"/>
      <x:c r="S246" s="117"/>
      <x:c r="T246" s="117"/>
      <x:c r="U246" s="117"/>
      <x:c r="V246" s="117"/>
      <x:c r="W246" s="117"/>
      <x:c r="X246" s="117"/>
      <x:c r="Y246" s="117"/>
    </x:row>
    <x:row r="247">
      <x:c r="A247" s="117"/>
      <x:c r="B247" s="117"/>
      <x:c r="C247" s="117"/>
      <x:c r="D247" s="117"/>
      <x:c r="E247" s="117"/>
      <x:c r="F247" s="117"/>
      <x:c r="G247" s="117"/>
      <x:c r="H247" s="117"/>
      <x:c r="I247" s="117"/>
      <x:c r="J247" s="117"/>
      <x:c r="K247" s="117"/>
      <x:c r="L247" s="117"/>
      <x:c r="M247" s="117"/>
      <x:c r="N247" s="117"/>
      <x:c r="O247" s="117"/>
      <x:c r="P247" s="117"/>
      <x:c r="Q247" s="117"/>
      <x:c r="R247" s="117"/>
      <x:c r="S247" s="117"/>
      <x:c r="T247" s="117"/>
      <x:c r="U247" s="117"/>
      <x:c r="V247" s="117"/>
      <x:c r="W247" s="117"/>
      <x:c r="X247" s="117"/>
      <x:c r="Y247" s="117"/>
    </x:row>
    <x:row r="248">
      <x:c r="A248" s="117"/>
      <x:c r="B248" s="117"/>
      <x:c r="C248" s="117"/>
      <x:c r="D248" s="117"/>
      <x:c r="E248" s="117"/>
      <x:c r="F248" s="117"/>
      <x:c r="G248" s="117"/>
      <x:c r="H248" s="117"/>
      <x:c r="I248" s="117"/>
      <x:c r="J248" s="117"/>
      <x:c r="K248" s="117"/>
      <x:c r="L248" s="117"/>
      <x:c r="M248" s="117"/>
      <x:c r="N248" s="117"/>
      <x:c r="O248" s="117"/>
      <x:c r="P248" s="117"/>
      <x:c r="Q248" s="117"/>
      <x:c r="R248" s="117"/>
      <x:c r="S248" s="117"/>
      <x:c r="T248" s="117"/>
      <x:c r="U248" s="117"/>
      <x:c r="V248" s="117"/>
      <x:c r="W248" s="117"/>
      <x:c r="X248" s="117"/>
      <x:c r="Y248" s="117"/>
    </x:row>
    <x:row r="249">
      <x:c r="A249" s="117"/>
      <x:c r="B249" s="117"/>
      <x:c r="C249" s="117"/>
      <x:c r="D249" s="117"/>
      <x:c r="E249" s="117"/>
      <x:c r="F249" s="117"/>
      <x:c r="G249" s="117"/>
      <x:c r="H249" s="117"/>
      <x:c r="I249" s="117"/>
      <x:c r="J249" s="117"/>
      <x:c r="K249" s="117"/>
      <x:c r="L249" s="117"/>
      <x:c r="M249" s="117"/>
      <x:c r="N249" s="117"/>
      <x:c r="O249" s="117"/>
      <x:c r="P249" s="117"/>
      <x:c r="Q249" s="117"/>
      <x:c r="R249" s="117"/>
      <x:c r="S249" s="117"/>
      <x:c r="T249" s="117"/>
      <x:c r="U249" s="117"/>
      <x:c r="V249" s="117"/>
      <x:c r="W249" s="117"/>
      <x:c r="X249" s="117"/>
      <x:c r="Y249" s="117"/>
    </x:row>
    <x:row r="250">
      <x:c r="A250" s="117"/>
      <x:c r="B250" s="117"/>
      <x:c r="C250" s="117"/>
      <x:c r="D250" s="117"/>
      <x:c r="E250" s="117"/>
      <x:c r="F250" s="117"/>
      <x:c r="G250" s="117"/>
      <x:c r="H250" s="117"/>
      <x:c r="I250" s="117"/>
      <x:c r="J250" s="117"/>
      <x:c r="K250" s="117"/>
      <x:c r="L250" s="117"/>
      <x:c r="M250" s="117"/>
      <x:c r="N250" s="117"/>
      <x:c r="O250" s="117"/>
      <x:c r="P250" s="117"/>
      <x:c r="Q250" s="117"/>
      <x:c r="R250" s="117"/>
      <x:c r="S250" s="117"/>
      <x:c r="T250" s="117"/>
      <x:c r="U250" s="117"/>
      <x:c r="V250" s="117"/>
      <x:c r="W250" s="117"/>
      <x:c r="X250" s="117"/>
      <x:c r="Y250" s="117"/>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s>
  <x:sheetData>
    <x:row r="1">
      <x:c r="A1" s="5" t="str">
        <x:v>Criticality</x:v>
      </x:c>
      <x:c r="B1" s="5" t="str">
        <x:v>Internet Facing</x:v>
      </x:c>
      <x:c r="C1" s="5" t="str">
        <x:v>Security Posture</x:v>
      </x:c>
      <x:c r="D1" s="5" t="str">
        <x:v>Data Classification</x:v>
      </x:c>
      <x:c r="E1" s="5" t="str">
        <x:v>Lifecycle</x:v>
      </x:c>
      <x:c r="F1" s="5" t="str">
        <x:v>Backup</x:v>
      </x:c>
    </x:row>
    <x:row r="2">
      <x:c r="A2" s="2" t="str">
        <x:v>Critical</x:v>
      </x:c>
      <x:c r="B2" s="2" t="str">
        <x:v>Yes</x:v>
      </x:c>
      <x:c r="C2" s="2" t="str">
        <x:v>Strong</x:v>
      </x:c>
      <x:c r="D2" s="2" t="str">
        <x:v>Public</x:v>
      </x:c>
      <x:c r="E2" s="2" t="str">
        <x:v>Production</x:v>
      </x:c>
      <x:c r="F2" s="2" t="str">
        <x:v>Yes</x:v>
      </x:c>
    </x:row>
    <x:row r="3">
      <x:c r="A3" s="2" t="str">
        <x:v>High</x:v>
      </x:c>
      <x:c r="B3" s="2" t="str">
        <x:v>No</x:v>
      </x:c>
      <x:c r="C3" s="2" t="str">
        <x:v>Adequate</x:v>
      </x:c>
      <x:c r="D3" s="2" t="str">
        <x:v>Internal</x:v>
      </x:c>
      <x:c r="E3" s="2" t="str">
        <x:v>Pilot</x:v>
      </x:c>
      <x:c r="F3" s="2" t="str">
        <x:v>Partial</x:v>
      </x:c>
    </x:row>
    <x:row r="4">
      <x:c r="A4" s="2" t="str">
        <x:v>Medium</x:v>
      </x:c>
      <x:c r="B4" s="2" t="str">
        <x:v>Indirect</x:v>
      </x:c>
      <x:c r="C4" s="2" t="str">
        <x:v>Needs Improvement</x:v>
      </x:c>
      <x:c r="D4" s="2" t="str">
        <x:v>Confidential</x:v>
      </x:c>
      <x:c r="E4" s="2" t="str">
        <x:v>Legacy</x:v>
      </x:c>
      <x:c r="F4" s="2" t="str">
        <x:v>No</x:v>
      </x:c>
    </x:row>
    <x:row r="5">
      <x:c r="A5" s="2" t="str">
        <x:v>Low</x:v>
      </x:c>
      <x:c r="B5" s="2" t="str">
        <x:v>Vendor Managed</x:v>
      </x:c>
      <x:c r="C5" s="2" t="str">
        <x:v>Weak</x:v>
      </x:c>
      <x:c r="D5" s="2" t="str">
        <x:v>Highly Confidential</x:v>
      </x:c>
      <x:c r="E5" s="2" t="str">
        <x:v>Retiring</x:v>
      </x:c>
      <x:c r="F5" s="2" t="str">
        <x:v>N/A</x:v>
      </x:c>
    </x:row>
    <x:row r="6">
      <x:c r="A6" s="2" t="str">
        <x:v>Supporting</x:v>
      </x:c>
      <x:c r="B6" s="2"/>
      <x:c r="C6" s="2" t="str">
        <x:v>Unknown</x:v>
      </x:c>
      <x:c r="D6" s="2" t="str">
        <x:v>Restricted</x:v>
      </x:c>
      <x:c r="E6" s="2"/>
      <x:c r="F6" s="2"/>
    </x:row>
  </x:sheetData>
  <x:pageMargins left="0.7" right="0.7" top="0.75" bottom="0.75" header="0.3" footer="0.3"/>
</x:worksheet>
</file>