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55646fcda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2de285ba42741ee"/>
    <x:sheet xmlns:r="http://schemas.openxmlformats.org/officeDocument/2006/relationships" name="Threat Vulnerability Matrix" sheetId="2" r:id="R3047310905c3412c"/>
    <x:sheet xmlns:r="http://schemas.openxmlformats.org/officeDocument/2006/relationships" name="Threat Catalog" sheetId="3" r:id="Rc4cde43910c94eee"/>
    <x:sheet xmlns:r="http://schemas.openxmlformats.org/officeDocument/2006/relationships" name="Vulnerability Themes" sheetId="4" r:id="R58d173a6178d4e5e"/>
    <x:sheet xmlns:r="http://schemas.openxmlformats.org/officeDocument/2006/relationships" name="Attack Paths" sheetId="5" r:id="Rc031ec2bd3c3411e"/>
    <x:sheet xmlns:r="http://schemas.openxmlformats.org/officeDocument/2006/relationships" name="Methodology" sheetId="6" r:id="R0b92d7456378407f"/>
    <x:sheet xmlns:r="http://schemas.openxmlformats.org/officeDocument/2006/relationships" name="References" sheetId="7" r:id="R6104e3a4a8644cb0"/>
    <x:sheet xmlns:r="http://schemas.openxmlformats.org/officeDocument/2006/relationships" name="Lists" sheetId="8" r:id="R086bf2725255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sz val="9"/>
      <x:color rgb="FF24212A"/>
      <x:name val="Aptos"/>
    </x:font>
    <x:font>
      <x:b/>
      <x:sz val="9"/>
      <x:color rgb="FFFFFFFF"/>
      <x:name val="Carlito"/>
    </x:font>
    <x:font>
      <x:sz val="9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i/>
      <x:sz val="10"/>
      <x:color rgb="FF6D6772"/>
      <x:name val="Carlito"/>
    </x:font>
    <x:font>
      <x:b/>
      <x:sz val="20"/>
      <x:color rgb="FF2F2345"/>
      <x:name val="Carlito"/>
    </x:font>
    <x:font>
      <x:b/>
      <x:sz val="12"/>
      <x:color rgb="FFFFFFFF"/>
      <x:name val="Carlito"/>
    </x:font>
    <x:font>
      <x:sz val="10"/>
      <x:name val="Carlito"/>
    </x:font>
    <x:font>
      <x:b/>
      <x:sz val="9"/>
      <x:color rgb="FF2F2345"/>
      <x:name val="Carlito"/>
    </x:font>
    <x:font>
      <x:b/>
      <x:sz val="18"/>
      <x:color rgb="FF24212A"/>
      <x:name val="Aptos"/>
    </x:font>
    <x:font>
      <x:sz val="11"/>
      <x:color rgb="FF24212A"/>
      <x:name val="Aptos"/>
    </x:font>
    <x:font>
      <x:i/>
      <x:sz val="10"/>
      <x:color rgb="FF24212A"/>
      <x:name val="Aptos"/>
    </x:font>
    <x:font>
      <x:b/>
      <x:sz val="11"/>
      <x:color rgb="FF24212A"/>
      <x:name val="Aptos"/>
    </x:font>
    <x:font>
      <x:b/>
      <x:sz val="20"/>
      <x:color rgb="FF24212A"/>
      <x:name val="Aptos"/>
    </x:font>
    <x:font>
      <x:b/>
      <x:sz val="12"/>
      <x:color rgb="FF24212A"/>
      <x:name val="Aptos"/>
    </x:font>
    <x:font>
      <x:sz val="10"/>
      <x:color rgb="FF24212A"/>
      <x:name val="Aptos"/>
    </x:font>
    <x:font>
      <x:b/>
      <x:sz val="9"/>
      <x:color rgb="FF24212A"/>
      <x:name val="Aptos"/>
    </x:font>
    <x:font>
      <x:b/>
      <x:sz val="10"/>
      <x:color rgb="FF24212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3F315B"/>
      </x:patternFill>
    </x:fill>
    <x:fill>
      <x:patternFill patternType="solid">
        <x:fgColor rgb="FF2F2345"/>
      </x:patternFill>
    </x:fill>
    <x:fill>
      <x:patternFill patternType="solid">
        <x:fgColor rgb="FF5B3F8C"/>
      </x:patternFill>
    </x:fill>
    <x:fill>
      <x:patternFill patternType="solid">
        <x:fgColor rgb="FFF8F6FB"/>
      </x:patternFill>
    </x:fill>
    <x:fill>
      <x:patternFill patternType="solid">
        <x:fgColor rgb="FFEDE7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6" borderId="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14" fillId="6" borderId="1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6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20" fillId="4" borderId="0" xfId="0" applyNumberFormat="1" applyFont="1" applyFill="1" applyBorder="1"/>
    <x:xf numFmtId="0" fontId="21" fillId="7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 applyAlignment="1">
      <x:alignment horizontal="center"/>
    </x:xf>
    <x:xf numFmtId="200" fontId="16" fillId="0" borderId="0" xfId="0" applyNumberFormat="1" applyFont="1" applyFill="1" applyBorder="1"/>
    <x:xf numFmtId="0" fontId="22" fillId="6" borderId="0" xfId="0" applyNumberFormat="1" applyFont="1" applyFill="1" applyBorder="1" applyAlignment="1">
      <x:alignment vertical="top" wrapText="1"/>
    </x:xf>
    <x:xf numFmtId="0" fontId="15" fillId="3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/>
    <x:xf numFmtId="0" fontId="17" fillId="6" borderId="1" xfId="0" applyNumberFormat="1" applyFont="1" applyFill="1" applyBorder="1"/>
    <x:xf numFmtId="0" fontId="18" fillId="2" borderId="1" xfId="0" applyNumberFormat="1" applyFont="1" applyFill="1" applyBorder="1" applyAlignment="1">
      <x:alignment horizontal="center" vertic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20" fillId="4" borderId="1" xfId="0" applyNumberFormat="1" applyFont="1" applyFill="1" applyBorder="1"/>
    <x:xf numFmtId="0" fontId="21" fillId="7" borderId="1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horizontal="center"/>
    </x:xf>
    <x:xf numFmtId="200" fontId="16" fillId="0" borderId="1" xfId="0" applyNumberFormat="1" applyFont="1" applyFill="1" applyBorder="1"/>
    <x:xf numFmtId="0" fontId="22" fillId="6" borderId="1" xfId="0" applyNumberFormat="1" applyFont="1" applyFill="1" applyBorder="1" applyAlignment="1">
      <x:alignment vertical="top" wrapText="1"/>
    </x:xf>
    <x:xf numFmtId="0" fontId="22" fillId="2" borderId="0" xfId="0" applyNumberFormat="1" applyFont="1" applyFill="1" applyBorder="1" applyAlignment="1">
      <x:alignment horizontal="center" vertical="center" wrapText="1"/>
    </x:xf>
    <x:xf numFmtId="0" fontId="22" fillId="2" borderId="1" xfId="0" applyNumberFormat="1" applyFont="1" applyFill="1" applyBorder="1" applyAlignment="1">
      <x:alignment horizontal="center" vertical="center" wrapText="1"/>
    </x:xf>
    <x:xf numFmtId="0" fontId="22" fillId="2" borderId="0" xfId="0" applyNumberFormat="1" applyFont="1" applyFill="1" applyBorder="1" applyAlignment="1">
      <x:alignment horizontal="center" wrapText="1"/>
    </x:xf>
    <x:xf numFmtId="0" fontId="22" fillId="2" borderId="1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vertical="top" wrapText="1"/>
    </x:xf>
    <x:xf numFmtId="0" fontId="18" fillId="4" borderId="0" xfId="0" applyNumberFormat="1" applyFont="1" applyFill="1" applyBorder="1"/>
    <x:xf numFmtId="0" fontId="16" fillId="5" borderId="0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8" fillId="4" borderId="1" xfId="0" applyNumberFormat="1" applyFont="1" applyFill="1" applyBorder="1"/>
    <x:xf numFmtId="0" fontId="16" fillId="5" borderId="1" xfId="0" applyNumberFormat="1" applyFont="1" applyFill="1" applyBorder="1" applyAlignment="1">
      <x:alignment vertical="top" wrapText="1"/>
    </x:xf>
    <x:xf numFmtId="0" fontId="23" fillId="2" borderId="0" xfId="0" applyNumberFormat="1" applyFont="1" applyFill="1" applyBorder="1" applyAlignment="1">
      <x:alignment horizontal="center"/>
    </x:xf>
    <x:xf numFmtId="0" fontId="23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a442f58874186" /><Relationship Type="http://schemas.openxmlformats.org/officeDocument/2006/relationships/theme" Target="/xl/theme/theme1.xml" Id="R0dbc07cd869e44e2" /><Relationship Type="http://schemas.openxmlformats.org/officeDocument/2006/relationships/sharedStrings" Target="/xl/sharedStrings.xml" Id="R4093d6ec7b744197" /><Relationship Type="http://schemas.openxmlformats.org/officeDocument/2006/relationships/worksheet" Target="/xl/worksheets/sheet1.xml" Id="Rc2de285ba42741ee" /><Relationship Type="http://schemas.openxmlformats.org/officeDocument/2006/relationships/worksheet" Target="/xl/worksheets/sheet2.xml" Id="R3047310905c3412c" /><Relationship Type="http://schemas.openxmlformats.org/officeDocument/2006/relationships/worksheet" Target="/xl/worksheets/sheet3.xml" Id="Rc4cde43910c94eee" /><Relationship Type="http://schemas.openxmlformats.org/officeDocument/2006/relationships/worksheet" Target="/xl/worksheets/sheet4.xml" Id="R58d173a6178d4e5e" /><Relationship Type="http://schemas.openxmlformats.org/officeDocument/2006/relationships/worksheet" Target="/xl/worksheets/sheet5.xml" Id="Rc031ec2bd3c3411e" /><Relationship Type="http://schemas.openxmlformats.org/officeDocument/2006/relationships/worksheet" Target="/xl/worksheets/sheet6.xml" Id="R0b92d7456378407f" /><Relationship Type="http://schemas.openxmlformats.org/officeDocument/2006/relationships/worksheet" Target="/xl/worksheets/sheet7.xml" Id="R6104e3a4a8644cb0" /><Relationship Type="http://schemas.openxmlformats.org/officeDocument/2006/relationships/worksheet" Target="/xl/worksheets/sheet8.xml" Id="R086bf272525549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6f16981a0843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Summary'!$A$17:$A$20</c:f>
              <c:strCache>
                <c:ptCount val="0"/>
              </c:strCache>
            </c:strRef>
          </c:cat>
          <c:val>
            <c:numRef>
              <c:f>'Executive Summary'!$B$17:$B$20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f16981a0843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reatVulnerabilityMatrix" displayName="ThreatVulnerabilityMatrix" ref="A1:T37" headerRowCount="1" totalsRowCount="0" totalsRowShown="0">
  <x:tableColumns count="20">
    <x:tableColumn id="1" name="Scenario ID"/>
    <x:tableColumn id="2" name="Threat Category"/>
    <x:tableColumn id="3" name="Threat Scenario"/>
    <x:tableColumn id="4" name="Threat Actor / Source"/>
    <x:tableColumn id="5" name="Attack Vector"/>
    <x:tableColumn id="6" name="Affected Asset IDs"/>
    <x:tableColumn id="7" name="Primary Assets / Services"/>
    <x:tableColumn id="8" name="Threat Relevance (1-5)"/>
    <x:tableColumn id="9" name="Vulnerability / Weakness"/>
    <x:tableColumn id="10" name="Vulnerability Severity (1-5)"/>
    <x:tableColumn id="11" name="Existing Controls"/>
    <x:tableColumn id="12" name="Control Coverage"/>
    <x:tableColumn id="13" name="Exposure Score"/>
    <x:tableColumn id="14" name="Scenario Priority"/>
    <x:tableColumn id="15" name="Potential Business Impact"/>
    <x:tableColumn id="16" name="Likely Security Outcome"/>
    <x:tableColumn id="17" name="MITRE ATT&amp;CK Tactic / Technique"/>
    <x:tableColumn id="18" name="NIST CSF 2.0 Areas"/>
    <x:tableColumn id="19" name="Evidence / Observation"/>
    <x:tableColumn id="20" name="Risk Register Candidate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atCatalogTable" displayName="ThreatCatalogTable" ref="A1:G11" headerRowCount="1" totalsRowCount="0" totalsRowShown="0">
  <x:tableColumns count="7">
    <x:tableColumn id="1" name="Threat ID"/>
    <x:tableColumn id="2" name="Threat Type"/>
    <x:tableColumn id="3" name="Description"/>
    <x:tableColumn id="4" name="Typical Actors"/>
    <x:tableColumn id="5" name="Common Entry Paths"/>
    <x:tableColumn id="6" name="Relevant Project Assets"/>
    <x:tableColumn id="7" name="Primary Security Obje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ulnerabilityThemesTable" displayName="VulnerabilityThemesTable" ref="A1:F11" headerRowCount="1" totalsRowCount="0" totalsRowShown="0">
  <x:tableColumns count="6">
    <x:tableColumn id="1" name="Theme ID"/>
    <x:tableColumn id="2" name="Vulnerability Theme"/>
    <x:tableColumn id="3" name="Observed Evidence in Asset Inventory"/>
    <x:tableColumn id="4" name="Affected Assets"/>
    <x:tableColumn id="5" name="Why It Matters"/>
    <x:tableColumn id="6" name="Recommended Analysis Foc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ackPathsTable" displayName="AttackPathsTable" ref="A1:G8" headerRowCount="1" totalsRowCount="0" totalsRowShown="0">
  <x:tableColumns count="7">
    <x:tableColumn id="1" name="Path ID"/>
    <x:tableColumn id="2" name="Attack Path"/>
    <x:tableColumn id="3" name="Entry Point"/>
    <x:tableColumn id="4" name="Key Steps"/>
    <x:tableColumn id="5" name="Crown-Jewel Target"/>
    <x:tableColumn id="6" name="Control Breakpoints"/>
    <x:tableColumn id="7" name="Related Scen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947219c10940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4e7267ae6547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793a2524374a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6a9dc32778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f89f821a15434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4" hidden="0" customWidth="1"/>
    <x:col min="5" max="5" width="10" hidden="0" customWidth="1"/>
    <x:col min="6" max="6" width="31" hidden="0" customWidth="1"/>
    <x:col min="7" max="7" width="45" hidden="0" customWidth="1"/>
    <x:col min="8" max="8" width="32" hidden="0" customWidth="1"/>
  </x:cols>
  <x:sheetData>
    <x:row r="1">
      <x:c r="A1" s="38" t="str">
        <x:v>Threat &amp; Vulnerability Matrix — Enterprise Cybersecurity Risk Assessment</x:v>
      </x:c>
      <x:c r="B1" s="38"/>
      <x:c r="C1" s="38"/>
      <x:c r="D1" s="38"/>
      <x:c r="E1" s="38"/>
      <x:c r="F1" s="38"/>
      <x:c r="G1" s="38"/>
      <x:c r="H1" s="38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38"/>
      <x:c r="B2" s="38"/>
      <x:c r="C2" s="38"/>
      <x:c r="D2" s="38"/>
      <x:c r="E2" s="38"/>
      <x:c r="F2" s="38"/>
      <x:c r="G2" s="38"/>
      <x:c r="H2" s="38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94" t="str">
        <x:v>IslandLink Business Services Ltd. (Fictional) | Jamaica | Project 2 — Phase 2</x:v>
      </x:c>
      <x:c r="B3" s="94"/>
      <x:c r="C3" s="94"/>
      <x:c r="D3" s="94"/>
      <x:c r="E3" s="94"/>
      <x:c r="F3" s="94"/>
      <x:c r="G3" s="94"/>
      <x:c r="H3" s="94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124" t="str">
        <x:v>Threat Scenarios</x:v>
      </x:c>
      <x:c r="B5" s="124"/>
      <x:c r="C5" s="124" t="str">
        <x:v>Critical Priority</x:v>
      </x:c>
      <x:c r="D5" s="124"/>
      <x:c r="E5" s="124" t="str">
        <x:v>High Priority</x:v>
      </x:c>
      <x:c r="F5" s="124"/>
      <x:c r="G5" s="124" t="str">
        <x:v>Risk Register Candidates</x:v>
      </x:c>
      <x:c r="H5" s="124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96" t="n">
        <x:f>COUNTA('Threat Vulnerability Matrix'!A2:A200)</x:f>
        <x:v>36</x:v>
      </x:c>
      <x:c r="B6" s="96"/>
      <x:c r="C6" s="96" t="n">
        <x:f>COUNTIF('Threat Vulnerability Matrix'!N2:N200,"Critical")</x:f>
        <x:v>7</x:v>
      </x:c>
      <x:c r="D6" s="96"/>
      <x:c r="E6" s="96" t="n">
        <x:f>COUNTIF('Threat Vulnerability Matrix'!N2:N200,"High")</x:f>
        <x:v>18</x:v>
      </x:c>
      <x:c r="F6" s="96"/>
      <x:c r="G6" s="96" t="n">
        <x:f>COUNTIF('Threat Vulnerability Matrix'!T2:T200,"Yes")</x:f>
        <x:v>36</x:v>
      </x:c>
      <x:c r="H6" s="96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96"/>
      <x:c r="B7" s="96"/>
      <x:c r="C7" s="96"/>
      <x:c r="D7" s="96"/>
      <x:c r="E7" s="96"/>
      <x:c r="F7" s="96"/>
      <x:c r="G7" s="96"/>
      <x:c r="H7" s="96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126" t="str">
        <x:v>Assessment Summary</x:v>
      </x:c>
      <x:c r="B9" s="126"/>
      <x:c r="C9" s="126"/>
      <x:c r="D9" s="126"/>
      <x:c r="E9" s="126"/>
      <x:c r="F9" s="126"/>
      <x:c r="G9" s="126"/>
      <x:c r="H9" s="126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98" t="str">
        <x:v>The matrix translates the asset inventory into concrete cybersecurity attack and failure scenarios. The environment's highest-exposure themes are identity compromise, business email compromise, ransomware, legacy infrastructure, privileged access, cloud sharing/export, vendor/RMM risk, perimeter weaknesses, and unproven recovery. Each scenario is linked to specific asset IDs and observable weaknesses so the next Risk Register can trace every risk back to a documented business asset and control gap.</x:v>
      </x:c>
      <x:c r="B10" s="98"/>
      <x:c r="C10" s="98"/>
      <x:c r="D10" s="98"/>
      <x:c r="E10" s="98"/>
      <x:c r="F10" s="98"/>
      <x:c r="G10" s="98"/>
      <x:c r="H10" s="98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98"/>
      <x:c r="B11" s="98"/>
      <x:c r="C11" s="98"/>
      <x:c r="D11" s="98"/>
      <x:c r="E11" s="98"/>
      <x:c r="F11" s="98"/>
      <x:c r="G11" s="98"/>
      <x:c r="H11" s="98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98"/>
      <x:c r="B12" s="98"/>
      <x:c r="C12" s="98"/>
      <x:c r="D12" s="98"/>
      <x:c r="E12" s="98"/>
      <x:c r="F12" s="98"/>
      <x:c r="G12" s="98"/>
      <x:c r="H12" s="98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98"/>
      <x:c r="B13" s="98"/>
      <x:c r="C13" s="98"/>
      <x:c r="D13" s="98"/>
      <x:c r="E13" s="98"/>
      <x:c r="F13" s="98"/>
      <x:c r="G13" s="98"/>
      <x:c r="H13" s="98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98"/>
      <x:c r="B14" s="98"/>
      <x:c r="C14" s="98"/>
      <x:c r="D14" s="98"/>
      <x:c r="E14" s="98"/>
      <x:c r="F14" s="98"/>
      <x:c r="G14" s="98"/>
      <x:c r="H14" s="98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128" t="str">
        <x:v>Priority</x:v>
      </x:c>
      <x:c r="B16" s="128" t="str">
        <x:v>Count</x:v>
      </x:c>
      <x:c r="C16" s="128" t="str">
        <x:v>Share</x:v>
      </x:c>
      <x:c r="D16" s="93"/>
      <x:c r="E16" s="128" t="str">
        <x:v>Highest-Priority Themes</x:v>
      </x:c>
      <x:c r="F16" s="128"/>
      <x:c r="G16" s="128"/>
      <x:c r="H16" s="128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93" t="str">
        <x:v>Critical</x:v>
      </x:c>
      <x:c r="B17" s="93" t="n">
        <x:f>COUNTIF('Threat Vulnerability Matrix'!N2:N200,A17)</x:f>
        <x:v>7</x:v>
      </x:c>
      <x:c r="C17" s="100" t="n">
        <x:f>IF($A$6=0,0,B17/$A$6)</x:f>
        <x:v>0.19444444444444445</x:v>
      </x:c>
      <x:c r="D17" s="93"/>
      <x:c r="E17" s="101" t="str">
        <x:v>Priority</x:v>
      </x:c>
      <x:c r="F17" s="101" t="str">
        <x:v>Theme</x:v>
      </x:c>
      <x:c r="G17" s="101" t="str">
        <x:v>Why</x:v>
      </x:c>
      <x:c r="H17" s="101" t="str">
        <x:v>Representative Scenarios</x:v>
      </x:c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93" t="str">
        <x:v>High</x:v>
      </x:c>
      <x:c r="B18" s="93" t="n">
        <x:f>COUNTIF('Threat Vulnerability Matrix'!N2:N200,A18)</x:f>
        <x:v>18</x:v>
      </x:c>
      <x:c r="C18" s="100" t="n">
        <x:f>IF($A$6=0,0,B18/$A$6)</x:f>
        <x:v>0.5</x:v>
      </x:c>
      <x:c r="D18" s="93"/>
      <x:c r="E18" s="20" t="n">
        <x:v>1</x:v>
      </x:c>
      <x:c r="F18" s="20" t="str">
        <x:v>Identity &amp; Privileged Access</x:v>
      </x:c>
      <x:c r="G18" s="20" t="str">
        <x:v>Incomplete MFA, stale privileges and admin-workstation exposure</x:v>
      </x:c>
      <x:c r="H18" s="20" t="str">
        <x:v>TV-03; TV-05; TV-06</x:v>
      </x:c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93" t="str">
        <x:v>Medium</x:v>
      </x:c>
      <x:c r="B19" s="93" t="n">
        <x:f>COUNTIF('Threat Vulnerability Matrix'!N2:N200,A19)</x:f>
        <x:v>11</x:v>
      </x:c>
      <x:c r="C19" s="100" t="n">
        <x:f>IF($A$6=0,0,B19/$A$6)</x:f>
        <x:v>0.3055555555555556</x:v>
      </x:c>
      <x:c r="D19" s="93"/>
      <x:c r="E19" s="20" t="n">
        <x:v>2</x:v>
      </x:c>
      <x:c r="F19" s="20" t="str">
        <x:v>Ransomware &amp; Recovery</x:v>
      </x:c>
      <x:c r="G19" s="20" t="str">
        <x:v>Legacy permissions, endpoint exposure and unproven backup resilience</x:v>
      </x:c>
      <x:c r="H19" s="20" t="str">
        <x:v>TV-07; TV-08; TV-31; TV-34</x:v>
      </x:c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93" t="str">
        <x:v>Low</x:v>
      </x:c>
      <x:c r="B20" s="93" t="n">
        <x:f>COUNTIF('Threat Vulnerability Matrix'!N2:N200,A20)</x:f>
        <x:v>0</x:v>
      </x:c>
      <x:c r="C20" s="100" t="n">
        <x:f>IF($A$6=0,0,B20/$A$6)</x:f>
        <x:v>0</x:v>
      </x:c>
      <x:c r="D20" s="93"/>
      <x:c r="E20" s="20" t="n">
        <x:v>3</x:v>
      </x:c>
      <x:c r="F20" s="20" t="str">
        <x:v>Finance / BEC</x:v>
      </x:c>
      <x:c r="G20" s="20" t="str">
        <x:v>Finance mailboxes and payment processes are high-value fraud targets</x:v>
      </x:c>
      <x:c r="H20" s="20" t="str">
        <x:v>TV-01; TV-16</x:v>
      </x:c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20" t="n">
        <x:v>4</x:v>
      </x:c>
      <x:c r="F21" s="20" t="str">
        <x:v>Third-Party / RMM</x:v>
      </x:c>
      <x:c r="G21" s="20" t="str">
        <x:v>Trusted remote-management paths can scale compromise rapidly</x:v>
      </x:c>
      <x:c r="H21" s="20" t="str">
        <x:v>TV-22; TV-23; TV-24</x:v>
      </x:c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20" t="n">
        <x:v>5</x:v>
      </x:c>
      <x:c r="F22" s="20" t="str">
        <x:v>Cloud Data Leakage</x:v>
      </x:c>
      <x:c r="G22" s="20" t="str">
        <x:v>Sharing/export controls and monitoring are incomplete</x:v>
      </x:c>
      <x:c r="H22" s="20" t="str">
        <x:v>TV-13; TV-14; TV-28; TV-29</x:v>
      </x:c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0:H14"/>
    <x:mergeCell ref="E16:H16"/>
  </x:mergeCells>
  <x:pageMargins left="0.7" right="0.7" top="0.75" bottom="0.75" header="0.3" footer="0.3"/>
  <x:drawing xmlns:r="http://schemas.openxmlformats.org/officeDocument/2006/relationships" r:id="R14947219c10940f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7" hidden="0" customWidth="1"/>
    <x:col min="4" max="4" width="26" hidden="0" customWidth="1"/>
    <x:col min="5" max="5" width="32" hidden="0" customWidth="1"/>
    <x:col min="6" max="6" width="25" hidden="0" customWidth="1"/>
    <x:col min="7" max="7" width="39" hidden="0" customWidth="1"/>
    <x:col min="8" max="8" width="13" hidden="0" customWidth="1"/>
    <x:col min="9" max="9" width="48" hidden="0" customWidth="1"/>
    <x:col min="10" max="10" width="15" hidden="0" customWidth="1"/>
    <x:col min="11" max="11" width="42" hidden="0" customWidth="1"/>
    <x:col min="12" max="12" width="15" hidden="0" customWidth="1"/>
    <x:col min="13" max="13" width="13" hidden="0" customWidth="1"/>
    <x:col min="14" max="14" width="13" hidden="0" customWidth="1"/>
    <x:col min="15" max="15" width="47" hidden="0" customWidth="1"/>
    <x:col min="16" max="16" width="31" hidden="0" customWidth="1"/>
    <x:col min="17" max="17" width="41" hidden="0" customWidth="1"/>
    <x:col min="18" max="18" width="27" hidden="0" customWidth="1"/>
    <x:col min="19" max="19" width="40" hidden="0" customWidth="1"/>
    <x:col min="20" max="20" width="16" hidden="0" customWidth="1"/>
  </x:cols>
  <x:sheetData>
    <x:row r="1" ht="46" customHeight="1">
      <x:c r="A1" s="12" t="str">
        <x:v>Scenario ID</x:v>
      </x:c>
      <x:c r="B1" s="12" t="str">
        <x:v>Threat Category</x:v>
      </x:c>
      <x:c r="C1" s="12" t="str">
        <x:v>Threat Scenario</x:v>
      </x:c>
      <x:c r="D1" s="12" t="str">
        <x:v>Threat Actor / Source</x:v>
      </x:c>
      <x:c r="E1" s="12" t="str">
        <x:v>Attack Vector</x:v>
      </x:c>
      <x:c r="F1" s="12" t="str">
        <x:v>Affected Asset IDs</x:v>
      </x:c>
      <x:c r="G1" s="12" t="str">
        <x:v>Primary Assets / Services</x:v>
      </x:c>
      <x:c r="H1" s="12" t="str">
        <x:v>Threat Relevance (1-5)</x:v>
      </x:c>
      <x:c r="I1" s="12" t="str">
        <x:v>Vulnerability / Weakness</x:v>
      </x:c>
      <x:c r="J1" s="12" t="str">
        <x:v>Vulnerability Severity (1-5)</x:v>
      </x:c>
      <x:c r="K1" s="12" t="str">
        <x:v>Existing Controls</x:v>
      </x:c>
      <x:c r="L1" s="12" t="str">
        <x:v>Control Coverage</x:v>
      </x:c>
      <x:c r="M1" s="12" t="str">
        <x:v>Exposure Score</x:v>
      </x:c>
      <x:c r="N1" s="12" t="str">
        <x:v>Scenario Priority</x:v>
      </x:c>
      <x:c r="O1" s="12" t="str">
        <x:v>Potential Business Impact</x:v>
      </x:c>
      <x:c r="P1" s="12" t="str">
        <x:v>Likely Security Outcome</x:v>
      </x:c>
      <x:c r="Q1" s="12" t="str">
        <x:v>MITRE ATT&amp;CK Tactic / Technique</x:v>
      </x:c>
      <x:c r="R1" s="12" t="str">
        <x:v>NIST CSF 2.0 Areas</x:v>
      </x:c>
      <x:c r="S1" s="12" t="str">
        <x:v>Evidence / Observation</x:v>
      </x:c>
      <x:c r="T1" s="12" t="str">
        <x:v>Risk Register Candidate?</x:v>
      </x:c>
    </x:row>
    <x:row r="2">
      <x:c r="A2" s="20" t="str">
        <x:v>TV-01</x:v>
      </x:c>
      <x:c r="B2" s="20" t="str">
        <x:v>Email / Social Engineering</x:v>
      </x:c>
      <x:c r="C2" s="20" t="str">
        <x:v>Business Email Compromise targets finance staff to redirect a legitimate vendor payment.</x:v>
      </x:c>
      <x:c r="D2" s="20" t="str">
        <x:v>External cybercriminal</x:v>
      </x:c>
      <x:c r="E2" s="20" t="str">
        <x:v>Spearphishing / impersonation / reply-chain compromise</x:v>
      </x:c>
      <x:c r="F2" s="20" t="str">
        <x:v>AST-004; AST-005; AST-011; AST-030</x:v>
      </x:c>
      <x:c r="G2" s="20" t="str">
        <x:v>Finance mailboxes; Accounting; Finance workstations; Financial records</x:v>
      </x:c>
      <x:c r="H2" s="20" t="n">
        <x:v>5</x:v>
      </x:c>
      <x:c r="I2" s="20" t="str">
        <x:v>Payment-change verification is informal and executive/finance impersonation protections are incomplete.</x:v>
      </x:c>
      <x:c r="J2" s="20" t="n">
        <x:v>5</x:v>
      </x:c>
      <x:c r="K2" s="20" t="str">
        <x:v>MFA on finance accounts; email filtering; accounting audit trail</x:v>
      </x:c>
      <x:c r="L2" s="20" t="str">
        <x:v>Moderate</x:v>
      </x:c>
      <x:c r="M2" s="20" t="n">
        <x:f>H2+J2+IF(L2="Strong",0,IF(L2="Moderate",1,IF(L2="Limited",2,IF(L2="Weak",3,0))))</x:f>
        <x:v>11</x:v>
      </x:c>
      <x:c r="N2" s="20" t="str">
        <x:f>IF(M2&gt;=12,"Critical",IF(M2&gt;=10,"High",IF(M2&gt;=7,"Medium","Low")))</x:f>
        <x:v>High</x:v>
      </x:c>
      <x:c r="O2" s="20" t="str">
        <x:v>Fraudulent payment, financial loss, investigation cost and reputational damage.</x:v>
      </x:c>
      <x:c r="P2" s="20" t="str">
        <x:v>Fraud / unauthorized financial transaction</x:v>
      </x:c>
      <x:c r="Q2" s="20" t="str">
        <x:v>Initial Access: Phishing (T1566); Credential Access / Valid Accounts (T1078)</x:v>
      </x:c>
      <x:c r="R2" s="20" t="str">
        <x:v>GV.RM; PR.AA; PR.AT; DE.CM; RS.AN</x:v>
      </x:c>
      <x:c r="S2" s="20" t="str">
        <x:v>Asset inventory identifies high BEC exposure and incomplete anti-impersonation process.</x:v>
      </x:c>
      <x:c r="T2" s="20" t="str">
        <x:v>Yes</x:v>
      </x:c>
    </x:row>
    <x:row r="3">
      <x:c r="A3" s="20" t="str">
        <x:v>TV-02</x:v>
      </x:c>
      <x:c r="B3" s="20" t="str">
        <x:v>Email / Social Engineering</x:v>
      </x:c>
      <x:c r="C3" s="20" t="str">
        <x:v>Executive account is compromised through phishing and used to request urgent payments or sensitive information.</x:v>
      </x:c>
      <x:c r="D3" s="20" t="str">
        <x:v>External cybercriminal</x:v>
      </x:c>
      <x:c r="E3" s="20" t="str">
        <x:v>Spearphishing / credential harvesting</x:v>
      </x:c>
      <x:c r="F3" s="20" t="str">
        <x:v>AST-003; AST-010; AST-001; AST-002</x:v>
      </x:c>
      <x:c r="G3" s="20" t="str">
        <x:v>Executive mailbox; Executive laptop; M365; Entra ID</x:v>
      </x:c>
      <x:c r="H3" s="20" t="n">
        <x:v>5</x:v>
      </x:c>
      <x:c r="I3" s="20" t="str">
        <x:v>Executives are high-value targets; advanced impersonation and conditional access policies are not fully mature.</x:v>
      </x:c>
      <x:c r="J3" s="20" t="n">
        <x:v>4</x:v>
      </x:c>
      <x:c r="K3" s="20" t="str">
        <x:v>MFA; email filtering; endpoint protection</x:v>
      </x:c>
      <x:c r="L3" s="20" t="str">
        <x:v>Moderate</x:v>
      </x:c>
      <x:c r="M3" s="20" t="n">
        <x:f>H3+J3+IF(L3="Strong",0,IF(L3="Moderate",1,IF(L3="Limited",2,IF(L3="Weak",3,0))))</x:f>
        <x:v>10</x:v>
      </x:c>
      <x:c r="N3" s="20" t="str">
        <x:f>IF(M3&gt;=12,"Critical",IF(M3&gt;=10,"High",IF(M3&gt;=7,"Medium","Low")))</x:f>
        <x:v>High</x:v>
      </x:c>
      <x:c r="O3" s="20" t="str">
        <x:v>Executive impersonation, sensitive-data exposure, fraud and trust damage.</x:v>
      </x:c>
      <x:c r="P3" s="20" t="str">
        <x:v>Account compromise / BEC</x:v>
      </x:c>
      <x:c r="Q3" s="20" t="str">
        <x:v>Initial Access: Phishing (T1566); Persistence: Account Manipulation (T1098); Valid Accounts (T1078)</x:v>
      </x:c>
      <x:c r="R3" s="20" t="str">
        <x:v>PR.AA; PR.AT; DE.CM; RS.AN</x:v>
      </x:c>
      <x:c r="S3" s="20" t="str">
        <x:v>Executive mailboxes and laptops identified as high-value assets.</x:v>
      </x:c>
      <x:c r="T3" s="20" t="str">
        <x:v>Yes</x:v>
      </x:c>
    </x:row>
    <x:row r="4">
      <x:c r="A4" s="20" t="str">
        <x:v>TV-03</x:v>
      </x:c>
      <x:c r="B4" s="20" t="str">
        <x:v>Identity</x:v>
      </x:c>
      <x:c r="C4" s="20" t="str">
        <x:v>Password spraying or brute-force attempts compromise a cloud user account without MFA.</x:v>
      </x:c>
      <x:c r="D4" s="20" t="str">
        <x:v>External cybercriminal</x:v>
      </x:c>
      <x:c r="E4" s="20" t="str">
        <x:v>Internet authentication attack</x:v>
      </x:c>
      <x:c r="F4" s="20" t="str">
        <x:v>AST-001; AST-002; AST-006; AST-017</x:v>
      </x:c>
      <x:c r="G4" s="20" t="str">
        <x:v>M365; Entra ID; CRM; VPN</x:v>
      </x:c>
      <x:c r="H4" s="20" t="n">
        <x:v>5</x:v>
      </x:c>
      <x:c r="I4" s="20" t="str">
        <x:v>MFA coverage is incomplete and some legacy VPN/cloud accounts remain exempt.</x:v>
      </x:c>
      <x:c r="J4" s="20" t="n">
        <x:v>5</x:v>
      </x:c>
      <x:c r="K4" s="20" t="str">
        <x:v>MFA for admins; partial user MFA; sign-in logs</x:v>
      </x:c>
      <x:c r="L4" s="20" t="str">
        <x:v>Limited</x:v>
      </x:c>
      <x:c r="M4" s="20" t="n">
        <x:f>H4+J4+IF(L4="Strong",0,IF(L4="Moderate",1,IF(L4="Limited",2,IF(L4="Weak",3,0))))</x:f>
        <x:v>12</x:v>
      </x:c>
      <x:c r="N4" s="20" t="str">
        <x:f>IF(M4&gt;=12,"Critical",IF(M4&gt;=10,"High",IF(M4&gt;=7,"Medium","Low")))</x:f>
        <x:v>Critical</x:v>
      </x:c>
      <x:c r="O4" s="20" t="str">
        <x:v>Unauthorized access to email, files, SaaS applications or remote network resources.</x:v>
      </x:c>
      <x:c r="P4" s="20" t="str">
        <x:v>Credential compromise</x:v>
      </x:c>
      <x:c r="Q4" s="20" t="str">
        <x:v>Credential Access: Brute Force (T1110); Defense Evasion: Valid Accounts (T1078)</x:v>
      </x:c>
      <x:c r="R4" s="20" t="str">
        <x:v>PR.AA; DE.CM; ID.RA</x:v>
      </x:c>
      <x:c r="S4" s="20" t="str">
        <x:v>Incomplete MFA is a repeated asset-inventory finding.</x:v>
      </x:c>
      <x:c r="T4" s="20" t="str">
        <x:v>Yes</x:v>
      </x:c>
    </x:row>
    <x:row r="5">
      <x:c r="A5" s="20" t="str">
        <x:v>TV-04</x:v>
      </x:c>
      <x:c r="B5" s="20" t="str">
        <x:v>Identity</x:v>
      </x:c>
      <x:c r="C5" s="20" t="str">
        <x:v>Stolen session token or malicious OAuth consent bypasses password/MFA controls in Microsoft 365.</x:v>
      </x:c>
      <x:c r="D5" s="20" t="str">
        <x:v>External cybercriminal</x:v>
      </x:c>
      <x:c r="E5" s="20" t="str">
        <x:v>Token theft / malicious OAuth application</x:v>
      </x:c>
      <x:c r="F5" s="20" t="str">
        <x:v>AST-001; AST-002; AST-008</x:v>
      </x:c>
      <x:c r="G5" s="20" t="str">
        <x:v>M365; Entra ID; SharePoint/OneDrive</x:v>
      </x:c>
      <x:c r="H5" s="20" t="n">
        <x:v>4</x:v>
      </x:c>
      <x:c r="I5" s="20" t="str">
        <x:v>Cloud identity monitoring is incomplete and app-consent governance is not yet formalized.</x:v>
      </x:c>
      <x:c r="J5" s="20" t="n">
        <x:v>4</x:v>
      </x:c>
      <x:c r="K5" s="20" t="str">
        <x:v>MFA; sign-in logs; basic conditional access</x:v>
      </x:c>
      <x:c r="L5" s="20" t="str">
        <x:v>Limited</x:v>
      </x:c>
      <x:c r="M5" s="20" t="n">
        <x:f>H5+J5+IF(L5="Strong",0,IF(L5="Moderate",1,IF(L5="Limited",2,IF(L5="Weak",3,0))))</x:f>
        <x:v>10</x:v>
      </x:c>
      <x:c r="N5" s="20" t="str">
        <x:f>IF(M5&gt;=12,"Critical",IF(M5&gt;=10,"High",IF(M5&gt;=7,"Medium","Low")))</x:f>
        <x:v>High</x:v>
      </x:c>
      <x:c r="O5" s="20" t="str">
        <x:v>Persistent cloud access, mailbox/file theft and covert data exfiltration.</x:v>
      </x:c>
      <x:c r="P5" s="20" t="str">
        <x:v>Cloud account/session compromise</x:v>
      </x:c>
      <x:c r="Q5" s="20" t="str">
        <x:v>Credential Access: Steal Web Session Cookie (T1539); Persistence: Additional Cloud Roles / Account Manipulation (T1098)</x:v>
      </x:c>
      <x:c r="R5" s="20" t="str">
        <x:v>PR.AA; DE.CM; GV.PO</x:v>
      </x:c>
      <x:c r="S5" s="20" t="str">
        <x:v>Tenant security posture notes fragmented cloud monitoring.</x:v>
      </x:c>
      <x:c r="T5" s="20" t="str">
        <x:v>Yes</x:v>
      </x:c>
    </x:row>
    <x:row r="6">
      <x:c r="A6" s="20" t="str">
        <x:v>TV-05</x:v>
      </x:c>
      <x:c r="B6" s="20" t="str">
        <x:v>Identity</x:v>
      </x:c>
      <x:c r="C6" s="20" t="str">
        <x:v>A stale privileged role or legacy administrator account is abused to gain broad cloud control.</x:v>
      </x:c>
      <x:c r="D6" s="20" t="str">
        <x:v>External attacker or insider</x:v>
      </x:c>
      <x:c r="E6" s="20" t="str">
        <x:v>Compromised privileged credentials</x:v>
      </x:c>
      <x:c r="F6" s="20" t="str">
        <x:v>AST-002; AST-012; AST-031</x:v>
      </x:c>
      <x:c r="G6" s="20" t="str">
        <x:v>Entra ID; IT admin workstations; Admin credentials</x:v>
      </x:c>
      <x:c r="H6" s="20" t="n">
        <x:v>5</x:v>
      </x:c>
      <x:c r="I6" s="20" t="str">
        <x:v>Privileged assignments require recurring review; some legacy credentials remain outside the vault.</x:v>
      </x:c>
      <x:c r="J6" s="20" t="n">
        <x:v>5</x:v>
      </x:c>
      <x:c r="K6" s="20" t="str">
        <x:v>MFA; password manager; audit logs</x:v>
      </x:c>
      <x:c r="L6" s="20" t="str">
        <x:v>Limited</x:v>
      </x:c>
      <x:c r="M6" s="20" t="n">
        <x:f>H6+J6+IF(L6="Strong",0,IF(L6="Moderate",1,IF(L6="Limited",2,IF(L6="Weak",3,0))))</x:f>
        <x:v>12</x:v>
      </x:c>
      <x:c r="N6" s="20" t="str">
        <x:f>IF(M6&gt;=12,"Critical",IF(M6&gt;=10,"High",IF(M6&gt;=7,"Medium","Low")))</x:f>
        <x:v>Critical</x:v>
      </x:c>
      <x:c r="O6" s="20" t="str">
        <x:v>Tenant-wide privilege escalation, persistence, data theft or destructive changes.</x:v>
      </x:c>
      <x:c r="P6" s="20" t="str">
        <x:v>Privilege escalation / administrative takeover</x:v>
      </x:c>
      <x:c r="Q6" s="20" t="str">
        <x:v>Privilege Escalation: Valid Accounts (T1078); Account Manipulation (T1098)</x:v>
      </x:c>
      <x:c r="R6" s="20" t="str">
        <x:v>PR.AA; GV.RR; DE.CM; RS.AN</x:v>
      </x:c>
      <x:c r="S6" s="20" t="str">
        <x:v>Asset inventory identifies stale privileged assignments and unmanaged legacy secrets.</x:v>
      </x:c>
      <x:c r="T6" s="20" t="str">
        <x:v>Yes</x:v>
      </x:c>
    </x:row>
    <x:row r="7">
      <x:c r="A7" s="20" t="str">
        <x:v>TV-06</x:v>
      </x:c>
      <x:c r="B7" s="20" t="str">
        <x:v>Identity</x:v>
      </x:c>
      <x:c r="C7" s="20" t="str">
        <x:v>General-purpose IT workstation compromise exposes privileged sessions or administrator credentials.</x:v>
      </x:c>
      <x:c r="D7" s="20" t="str">
        <x:v>External attacker</x:v>
      </x:c>
      <x:c r="E7" s="20" t="str">
        <x:v>Malware / phishing on admin workstation</x:v>
      </x:c>
      <x:c r="F7" s="20" t="str">
        <x:v>AST-012; AST-031; AST-002; AST-013</x:v>
      </x:c>
      <x:c r="G7" s="20" t="str">
        <x:v>IT admin workstations; Admin secrets; Entra ID; Firewall</x:v>
      </x:c>
      <x:c r="H7" s="20" t="n">
        <x:v>4</x:v>
      </x:c>
      <x:c r="I7" s="20" t="str">
        <x:v>Privileged administration occurs from general-purpose workstations; privileged access workstation model not implemented.</x:v>
      </x:c>
      <x:c r="J7" s="20" t="n">
        <x:v>5</x:v>
      </x:c>
      <x:c r="K7" s="20" t="str">
        <x:v>EDR; MFA; password vault</x:v>
      </x:c>
      <x:c r="L7" s="20" t="str">
        <x:v>Limited</x:v>
      </x:c>
      <x:c r="M7" s="20" t="n">
        <x:f>H7+J7+IF(L7="Strong",0,IF(L7="Moderate",1,IF(L7="Limited",2,IF(L7="Weak",3,0))))</x:f>
        <x:v>11</x:v>
      </x:c>
      <x:c r="N7" s="20" t="str">
        <x:f>IF(M7&gt;=12,"Critical",IF(M7&gt;=10,"High",IF(M7&gt;=7,"Medium","Low")))</x:f>
        <x:v>High</x:v>
      </x:c>
      <x:c r="O7" s="20" t="str">
        <x:v>Privilege theft enabling lateral movement across cloud, endpoint and network administration.</x:v>
      </x:c>
      <x:c r="P7" s="20" t="str">
        <x:v>Privileged credential compromise</x:v>
      </x:c>
      <x:c r="Q7" s="20" t="str">
        <x:v>Credential Access; Privilege Escalation; Lateral Movement</x:v>
      </x:c>
      <x:c r="R7" s="20" t="str">
        <x:v>PR.AA; PR.PS; DE.CM</x:v>
      </x:c>
      <x:c r="S7" s="20" t="str">
        <x:v>AST-012 explicitly notes absence of PAW model.</x:v>
      </x:c>
      <x:c r="T7" s="20" t="str">
        <x:v>Yes</x:v>
      </x:c>
    </x:row>
    <x:row r="8">
      <x:c r="A8" s="20" t="str">
        <x:v>TV-07</x:v>
      </x:c>
      <x:c r="B8" s="20" t="str">
        <x:v>Malware / Ransomware</x:v>
      </x:c>
      <x:c r="C8" s="20" t="str">
        <x:v>Ransomware enters through phishing or a compromised endpoint and encrypts shared files and legacy servers.</x:v>
      </x:c>
      <x:c r="D8" s="20" t="str">
        <x:v>External cybercriminal</x:v>
      </x:c>
      <x:c r="E8" s="20" t="str">
        <x:v>Malicious attachment / drive-by / credential abuse</x:v>
      </x:c>
      <x:c r="F8" s="20" t="str">
        <x:v>AST-009; AST-019; AST-020; AST-021; AST-008</x:v>
      </x:c>
      <x:c r="G8" s="20" t="str">
        <x:v>Employee laptops; Legacy file server; Virtualization; Backups; SharePoint</x:v>
      </x:c>
      <x:c r="H8" s="20" t="n">
        <x:v>5</x:v>
      </x:c>
      <x:c r="I8" s="20" t="str">
        <x:v>Legacy file server has broad permissions; patch cadence is mixed; backup immutability is not confirmed.</x:v>
      </x:c>
      <x:c r="J8" s="20" t="n">
        <x:v>5</x:v>
      </x:c>
      <x:c r="K8" s="20" t="str">
        <x:v>EDR; backups; M365 versioning; endpoint controls</x:v>
      </x:c>
      <x:c r="L8" s="20" t="str">
        <x:v>Limited</x:v>
      </x:c>
      <x:c r="M8" s="20" t="n">
        <x:f>H8+J8+IF(L8="Strong",0,IF(L8="Moderate",1,IF(L8="Limited",2,IF(L8="Weak",3,0))))</x:f>
        <x:v>12</x:v>
      </x:c>
      <x:c r="N8" s="20" t="str">
        <x:f>IF(M8&gt;=12,"Critical",IF(M8&gt;=10,"High",IF(M8&gt;=7,"Medium","Low")))</x:f>
        <x:v>Critical</x:v>
      </x:c>
      <x:c r="O8" s="20" t="str">
        <x:v>Operational outage, encrypted files, data loss, recovery cost and possible extortion.</x:v>
      </x:c>
      <x:c r="P8" s="20" t="str">
        <x:v>Ransomware / widespread disruption</x:v>
      </x:c>
      <x:c r="Q8" s="20" t="str">
        <x:v>Impact: Data Encrypted for Impact (T1486); Lateral Movement; Discovery</x:v>
      </x:c>
      <x:c r="R8" s="20" t="str">
        <x:v>PR.PS; PR.IR; DE.CM; RS.MI; RC.RP</x:v>
      </x:c>
      <x:c r="S8" s="20" t="str">
        <x:v>Legacy server and backup findings create a credible ransomware path.</x:v>
      </x:c>
      <x:c r="T8" s="20" t="str">
        <x:v>Yes</x:v>
      </x:c>
    </x:row>
    <x:row r="9">
      <x:c r="A9" s="20" t="str">
        <x:v>TV-08</x:v>
      </x:c>
      <x:c r="B9" s="20" t="str">
        <x:v>Malware / Ransomware</x:v>
      </x:c>
      <x:c r="C9" s="20" t="str">
        <x:v>Attacker compromises the backup environment before launching ransomware, reducing recovery options.</x:v>
      </x:c>
      <x:c r="D9" s="20" t="str">
        <x:v>External cybercriminal</x:v>
      </x:c>
      <x:c r="E9" s="20" t="str">
        <x:v>Stolen admin credentials / lateral movement</x:v>
      </x:c>
      <x:c r="F9" s="20" t="str">
        <x:v>AST-021; AST-031; AST-020</x:v>
      </x:c>
      <x:c r="G9" s="20" t="str">
        <x:v>Backup repository; Admin credentials; Virtualization</x:v>
      </x:c>
      <x:c r="H9" s="20" t="n">
        <x:v>5</x:v>
      </x:c>
      <x:c r="I9" s="20" t="str">
        <x:v>Backup immutability/offline protection is unconfirmed and restore tests are ad hoc.</x:v>
      </x:c>
      <x:c r="J9" s="20" t="n">
        <x:v>5</x:v>
      </x:c>
      <x:c r="K9" s="20" t="str">
        <x:v>Separate backup account; cloud copy; backup alerts</x:v>
      </x:c>
      <x:c r="L9" s="20" t="str">
        <x:v>Limited</x:v>
      </x:c>
      <x:c r="M9" s="20" t="n">
        <x:f>H9+J9+IF(L9="Strong",0,IF(L9="Moderate",1,IF(L9="Limited",2,IF(L9="Weak",3,0))))</x:f>
        <x:v>12</x:v>
      </x:c>
      <x:c r="N9" s="20" t="str">
        <x:f>IF(M9&gt;=12,"Critical",IF(M9&gt;=10,"High",IF(M9&gt;=7,"Medium","Low")))</x:f>
        <x:v>Critical</x:v>
      </x:c>
      <x:c r="O9" s="20" t="str">
        <x:v>Loss of trusted recovery path, prolonged outage and increased likelihood of ransom pressure.</x:v>
      </x:c>
      <x:c r="P9" s="20" t="str">
        <x:v>Backup destruction / recovery failure</x:v>
      </x:c>
      <x:c r="Q9" s="20" t="str">
        <x:v>Impact: Inhibit System Recovery (T1490); Valid Accounts (T1078)</x:v>
      </x:c>
      <x:c r="R9" s="20" t="str">
        <x:v>PR.IR; RC.RP; PR.AA</x:v>
      </x:c>
      <x:c r="S9" s="20" t="str">
        <x:v>Backup repository posture is 'Needs Improvement'.</x:v>
      </x:c>
      <x:c r="T9" s="20" t="str">
        <x:v>Yes</x:v>
      </x:c>
    </x:row>
    <x:row r="10">
      <x:c r="A10" s="20" t="str">
        <x:v>TV-09</x:v>
      </x:c>
      <x:c r="B10" s="20" t="str">
        <x:v>Endpoint</x:v>
      </x:c>
      <x:c r="C10" s="20" t="str">
        <x:v>Malware compromises a remote employee laptop and steals credentials or business data.</x:v>
      </x:c>
      <x:c r="D10" s="20" t="str">
        <x:v>External cybercriminal</x:v>
      </x:c>
      <x:c r="E10" s="20" t="str">
        <x:v>Phishing / malicious download / drive-by</x:v>
      </x:c>
      <x:c r="F10" s="20" t="str">
        <x:v>AST-009; AST-023; AST-001; AST-006</x:v>
      </x:c>
      <x:c r="G10" s="20" t="str">
        <x:v>Employee laptops; EDR; M365; CRM</x:v>
      </x:c>
      <x:c r="H10" s="20" t="n">
        <x:v>5</x:v>
      </x:c>
      <x:c r="I10" s="20" t="str">
        <x:v>Mixed patch cadence, local-admin exceptions and encryption coverage requiring validation.</x:v>
      </x:c>
      <x:c r="J10" s="20" t="n">
        <x:v>4</x:v>
      </x:c>
      <x:c r="K10" s="20" t="str">
        <x:v>EDR/AV; M365 security; Entra sign-in controls</x:v>
      </x:c>
      <x:c r="L10" s="20" t="str">
        <x:v>Moderate</x:v>
      </x:c>
      <x:c r="M10" s="20" t="n">
        <x:f>H10+J10+IF(L10="Strong",0,IF(L10="Moderate",1,IF(L10="Limited",2,IF(L10="Weak",3,0))))</x:f>
        <x:v>10</x:v>
      </x:c>
      <x:c r="N10" s="20" t="str">
        <x:f>IF(M10&gt;=12,"Critical",IF(M10&gt;=10,"High",IF(M10&gt;=7,"Medium","Low")))</x:f>
        <x:v>High</x:v>
      </x:c>
      <x:c r="O10" s="20" t="str">
        <x:v>Credential theft, cloud account compromise, data loss and lateral movement.</x:v>
      </x:c>
      <x:c r="P10" s="20" t="str">
        <x:v>Endpoint compromise</x:v>
      </x:c>
      <x:c r="Q10" s="20" t="str">
        <x:v>Execution: User Execution (T1204); Credential Access; Exfiltration</x:v>
      </x:c>
      <x:c r="R10" s="20" t="str">
        <x:v>PR.PS; PR.AA; DE.CM</x:v>
      </x:c>
      <x:c r="S10" s="20" t="str">
        <x:v>Endpoint fleet is large and hybrid/remote.</x:v>
      </x:c>
      <x:c r="T10" s="20" t="str">
        <x:v>Yes</x:v>
      </x:c>
    </x:row>
    <x:row r="11">
      <x:c r="A11" s="20" t="str">
        <x:v>TV-10</x:v>
      </x:c>
      <x:c r="B11" s="20" t="str">
        <x:v>Endpoint</x:v>
      </x:c>
      <x:c r="C11" s="20" t="str">
        <x:v>Lost or stolen laptop exposes cached company files or authenticated sessions.</x:v>
      </x:c>
      <x:c r="D11" s="20" t="str">
        <x:v>Physical loss / opportunistic actor</x:v>
      </x:c>
      <x:c r="E11" s="20" t="str">
        <x:v>Device theft / loss</x:v>
      </x:c>
      <x:c r="F11" s="20" t="str">
        <x:v>AST-009; AST-010; AST-011</x:v>
      </x:c>
      <x:c r="G11" s="20" t="str">
        <x:v>Employee, executive and finance laptops</x:v>
      </x:c>
      <x:c r="H11" s="20" t="n">
        <x:v>4</x:v>
      </x:c>
      <x:c r="I11" s="20" t="str">
        <x:v>Encryption coverage still needs validation; remote wipe and session-revocation procedures are not fully documented.</x:v>
      </x:c>
      <x:c r="J11" s="20" t="n">
        <x:v>4</x:v>
      </x:c>
      <x:c r="K11" s="20" t="str">
        <x:v>Device authentication; OneDrive; endpoint management</x:v>
      </x:c>
      <x:c r="L11" s="20" t="str">
        <x:v>Moderate</x:v>
      </x:c>
      <x:c r="M11" s="20" t="n">
        <x:f>H11+J11+IF(L11="Strong",0,IF(L11="Moderate",1,IF(L11="Limited",2,IF(L11="Weak",3,0))))</x:f>
        <x:v>9</x:v>
      </x:c>
      <x:c r="N11" s="20" t="str">
        <x:f>IF(M11&gt;=12,"Critical",IF(M11&gt;=10,"High",IF(M11&gt;=7,"Medium","Low")))</x:f>
        <x:v>Medium</x:v>
      </x:c>
      <x:c r="O11" s="20" t="str">
        <x:v>Confidential data exposure or unauthorized cloud access.</x:v>
      </x:c>
      <x:c r="P11" s="20" t="str">
        <x:v>Data disclosure / account misuse</x:v>
      </x:c>
      <x:c r="Q11" s="20" t="str">
        <x:v>Collection / Credential Access (physical compromise scenario)</x:v>
      </x:c>
      <x:c r="R11" s="20" t="str">
        <x:v>PR.DS; PR.AA; RS.MI</x:v>
      </x:c>
      <x:c r="S11" s="20" t="str">
        <x:v>Asset inventory flags encryption validation gap.</x:v>
      </x:c>
      <x:c r="T11" s="20" t="str">
        <x:v>Yes</x:v>
      </x:c>
    </x:row>
    <x:row r="12">
      <x:c r="A12" s="20" t="str">
        <x:v>TV-11</x:v>
      </x:c>
      <x:c r="B12" s="20" t="str">
        <x:v>Endpoint</x:v>
      </x:c>
      <x:c r="C12" s="20" t="str">
        <x:v>Malicious Office macro or script executes on a finance workstation and establishes persistence.</x:v>
      </x:c>
      <x:c r="D12" s="20" t="str">
        <x:v>External cybercriminal</x:v>
      </x:c>
      <x:c r="E12" s="20" t="str">
        <x:v>Malicious attachment / script</x:v>
      </x:c>
      <x:c r="F12" s="20" t="str">
        <x:v>AST-011; AST-004; AST-005</x:v>
      </x:c>
      <x:c r="G12" s="20" t="str">
        <x:v>Finance workstations; Finance email; Accounting</x:v>
      </x:c>
      <x:c r="H12" s="20" t="n">
        <x:v>4</x:v>
      </x:c>
      <x:c r="I12" s="20" t="str">
        <x:v>Macro and removable-media controls are not formally governed.</x:v>
      </x:c>
      <x:c r="J12" s="20" t="n">
        <x:v>4</x:v>
      </x:c>
      <x:c r="K12" s="20" t="str">
        <x:v>EDR; email filtering; user authentication</x:v>
      </x:c>
      <x:c r="L12" s="20" t="str">
        <x:v>Moderate</x:v>
      </x:c>
      <x:c r="M12" s="20" t="n">
        <x:f>H12+J12+IF(L12="Strong",0,IF(L12="Moderate",1,IF(L12="Limited",2,IF(L12="Weak",3,0))))</x:f>
        <x:v>9</x:v>
      </x:c>
      <x:c r="N12" s="20" t="str">
        <x:f>IF(M12&gt;=12,"Critical",IF(M12&gt;=10,"High",IF(M12&gt;=7,"Medium","Low")))</x:f>
        <x:v>Medium</x:v>
      </x:c>
      <x:c r="O12" s="20" t="str">
        <x:v>Credential theft, fraudulent transactions or ransomware entry.</x:v>
      </x:c>
      <x:c r="P12" s="20" t="str">
        <x:v>Malware execution</x:v>
      </x:c>
      <x:c r="Q12" s="20" t="str">
        <x:v>Execution: Command and Scripting Interpreter (T1059); User Execution (T1204)</x:v>
      </x:c>
      <x:c r="R12" s="20" t="str">
        <x:v>PR.PS; PR.AT; DE.CM</x:v>
      </x:c>
      <x:c r="S12" s="20" t="str">
        <x:v>Finance workstation observation specifically notes macro-control gap.</x:v>
      </x:c>
      <x:c r="T12" s="20" t="str">
        <x:v>Yes</x:v>
      </x:c>
    </x:row>
    <x:row r="13">
      <x:c r="A13" s="20" t="str">
        <x:v>TV-12</x:v>
      </x:c>
      <x:c r="B13" s="20" t="str">
        <x:v>Endpoint</x:v>
      </x:c>
      <x:c r="C13" s="20" t="str">
        <x:v>Malicious or infected USB device introduces malware or enables unauthorized data extraction.</x:v>
      </x:c>
      <x:c r="D13" s="20" t="str">
        <x:v>Insider / external via media</x:v>
      </x:c>
      <x:c r="E13" s="20" t="str">
        <x:v>Removable media</x:v>
      </x:c>
      <x:c r="F13" s="20" t="str">
        <x:v>AST-011; AST-009; AST-019</x:v>
      </x:c>
      <x:c r="G13" s="20" t="str">
        <x:v>Finance workstations; Employee laptops; File server</x:v>
      </x:c>
      <x:c r="H13" s="20" t="n">
        <x:v>3</x:v>
      </x:c>
      <x:c r="I13" s="20" t="str">
        <x:v>USB/removable-media governance is not formally defined.</x:v>
      </x:c>
      <x:c r="J13" s="20" t="n">
        <x:v>3</x:v>
      </x:c>
      <x:c r="K13" s="20" t="str">
        <x:v>EDR; endpoint controls</x:v>
      </x:c>
      <x:c r="L13" s="20" t="str">
        <x:v>Moderate</x:v>
      </x:c>
      <x:c r="M13" s="20" t="n">
        <x:f>H13+J13+IF(L13="Strong",0,IF(L13="Moderate",1,IF(L13="Limited",2,IF(L13="Weak",3,0))))</x:f>
        <x:v>7</x:v>
      </x:c>
      <x:c r="N13" s="20" t="str">
        <x:f>IF(M13&gt;=12,"Critical",IF(M13&gt;=10,"High",IF(M13&gt;=7,"Medium","Low")))</x:f>
        <x:v>Medium</x:v>
      </x:c>
      <x:c r="O13" s="20" t="str">
        <x:v>Malware infection or data exfiltration from high-value systems.</x:v>
      </x:c>
      <x:c r="P13" s="20" t="str">
        <x:v>Malware / removable-media exfiltration</x:v>
      </x:c>
      <x:c r="Q13" s="20" t="str">
        <x:v>Initial Access: Replication Through Removable Media (T1091)</x:v>
      </x:c>
      <x:c r="R13" s="20" t="str">
        <x:v>PR.PS; PR.DS</x:v>
      </x:c>
      <x:c r="S13" s="20" t="str">
        <x:v>Known concern on finance workstations.</x:v>
      </x:c>
      <x:c r="T13" s="20" t="str">
        <x:v>Yes</x:v>
      </x:c>
    </x:row>
    <x:row r="14">
      <x:c r="A14" s="20" t="str">
        <x:v>TV-13</x:v>
      </x:c>
      <x:c r="B14" s="20" t="str">
        <x:v>Cloud / SaaS</x:v>
      </x:c>
      <x:c r="C14" s="20" t="str">
        <x:v>SharePoint/OneDrive external sharing exposes confidential files to unintended recipients.</x:v>
      </x:c>
      <x:c r="D14" s="20" t="str">
        <x:v>User error / insider</x:v>
      </x:c>
      <x:c r="E14" s="20" t="str">
        <x:v>Misconfigured sharing / anonymous link</x:v>
      </x:c>
      <x:c r="F14" s="20" t="str">
        <x:v>AST-008; AST-028</x:v>
      </x:c>
      <x:c r="G14" s="20" t="str">
        <x:v>SharePoint/OneDrive; Customer data</x:v>
      </x:c>
      <x:c r="H14" s="20" t="n">
        <x:v>5</x:v>
      </x:c>
      <x:c r="I14" s="20" t="str">
        <x:v>Oversharing and anonymous/external sharing settings require review.</x:v>
      </x:c>
      <x:c r="J14" s="20" t="n">
        <x:v>4</x:v>
      </x:c>
      <x:c r="K14" s="20" t="str">
        <x:v>M365 permissions; audit logs; user training</x:v>
      </x:c>
      <x:c r="L14" s="20" t="str">
        <x:v>Limited</x:v>
      </x:c>
      <x:c r="M14" s="20" t="n">
        <x:f>H14+J14+IF(L14="Strong",0,IF(L14="Moderate",1,IF(L14="Limited",2,IF(L14="Weak",3,0))))</x:f>
        <x:v>11</x:v>
      </x:c>
      <x:c r="N14" s="20" t="str">
        <x:f>IF(M14&gt;=12,"Critical",IF(M14&gt;=10,"High",IF(M14&gt;=7,"Medium","Low")))</x:f>
        <x:v>High</x:v>
      </x:c>
      <x:c r="O14" s="20" t="str">
        <x:v>Customer or internal data disclosure, reputational harm and incident response.</x:v>
      </x:c>
      <x:c r="P14" s="20" t="str">
        <x:v>Cloud data leakage</x:v>
      </x:c>
      <x:c r="Q14" s="20" t="str">
        <x:v>Exfiltration Over Web Service (T1567); Valid Accounts (T1078)</x:v>
      </x:c>
      <x:c r="R14" s="20" t="str">
        <x:v>PR.DS; PR.AA; DE.CM; GV.PO</x:v>
      </x:c>
      <x:c r="S14" s="20" t="str">
        <x:v>Asset inventory explicitly identifies oversharing risk.</x:v>
      </x:c>
      <x:c r="T14" s="20" t="str">
        <x:v>Yes</x:v>
      </x:c>
    </x:row>
    <x:row r="15">
      <x:c r="A15" s="20" t="str">
        <x:v>TV-14</x:v>
      </x:c>
      <x:c r="B15" s="20" t="str">
        <x:v>Cloud / SaaS</x:v>
      </x:c>
      <x:c r="C15" s="20" t="str">
        <x:v>CRM user exports a large customer dataset and stores it in an unmanaged location.</x:v>
      </x:c>
      <x:c r="D15" s="20" t="str">
        <x:v>Insider or compromised user</x:v>
      </x:c>
      <x:c r="E15" s="20" t="str">
        <x:v>Bulk export / browser download</x:v>
      </x:c>
      <x:c r="F15" s="20" t="str">
        <x:v>AST-006; AST-028; AST-009</x:v>
      </x:c>
      <x:c r="G15" s="20" t="str">
        <x:v>CRM; Customer dataset; Endpoint</x:v>
      </x:c>
      <x:c r="H15" s="20" t="n">
        <x:v>4</x:v>
      </x:c>
      <x:c r="I15" s="20" t="str">
        <x:v>Broad export permissions and duplicate data copies are already present.</x:v>
      </x:c>
      <x:c r="J15" s="20" t="n">
        <x:v>4</x:v>
      </x:c>
      <x:c r="K15" s="20" t="str">
        <x:v>Application permissions; basic audit logs</x:v>
      </x:c>
      <x:c r="L15" s="20" t="str">
        <x:v>Limited</x:v>
      </x:c>
      <x:c r="M15" s="20" t="n">
        <x:f>H15+J15+IF(L15="Strong",0,IF(L15="Moderate",1,IF(L15="Limited",2,IF(L15="Weak",3,0))))</x:f>
        <x:v>10</x:v>
      </x:c>
      <x:c r="N15" s="20" t="str">
        <x:f>IF(M15&gt;=12,"Critical",IF(M15&gt;=10,"High",IF(M15&gt;=7,"Medium","Low")))</x:f>
        <x:v>High</x:v>
      </x:c>
      <x:c r="O15" s="20" t="str">
        <x:v>Loss of customer information and uncontrolled secondary copies.</x:v>
      </x:c>
      <x:c r="P15" s="20" t="str">
        <x:v>Data exfiltration</x:v>
      </x:c>
      <x:c r="Q15" s="20" t="str">
        <x:v>Collection: Data from Information Repositories; Exfiltration Over Web Service</x:v>
      </x:c>
      <x:c r="R15" s="20" t="str">
        <x:v>PR.DS; PR.AA; DE.CM</x:v>
      </x:c>
      <x:c r="S15" s="20" t="str">
        <x:v>CRM and customer dataset observations highlight export/duplication risks.</x:v>
      </x:c>
      <x:c r="T15" s="20" t="str">
        <x:v>Yes</x:v>
      </x:c>
    </x:row>
    <x:row r="16">
      <x:c r="A16" s="20" t="str">
        <x:v>TV-15</x:v>
      </x:c>
      <x:c r="B16" s="20" t="str">
        <x:v>Cloud / SaaS</x:v>
      </x:c>
      <x:c r="C16" s="20" t="str">
        <x:v>HR SaaS account misuse exposes or modifies sensitive employee records.</x:v>
      </x:c>
      <x:c r="D16" s="20" t="str">
        <x:v>Insider or compromised user</x:v>
      </x:c>
      <x:c r="E16" s="20" t="str">
        <x:v>Valid account misuse</x:v>
      </x:c>
      <x:c r="F16" s="20" t="str">
        <x:v>AST-007; AST-029</x:v>
      </x:c>
      <x:c r="G16" s="20" t="str">
        <x:v>HRIS; Employee HR dataset</x:v>
      </x:c>
      <x:c r="H16" s="20" t="n">
        <x:v>4</x:v>
      </x:c>
      <x:c r="I16" s="20" t="str">
        <x:v>Access-review documentation is incomplete and sensitive exports are not formally governed.</x:v>
      </x:c>
      <x:c r="J16" s="20" t="n">
        <x:v>4</x:v>
      </x:c>
      <x:c r="K16" s="20" t="str">
        <x:v>MFA for HR admins; SaaS audit logs</x:v>
      </x:c>
      <x:c r="L16" s="20" t="str">
        <x:v>Moderate</x:v>
      </x:c>
      <x:c r="M16" s="20" t="n">
        <x:f>H16+J16+IF(L16="Strong",0,IF(L16="Moderate",1,IF(L16="Limited",2,IF(L16="Weak",3,0))))</x:f>
        <x:v>9</x:v>
      </x:c>
      <x:c r="N16" s="20" t="str">
        <x:f>IF(M16&gt;=12,"Critical",IF(M16&gt;=10,"High",IF(M16&gt;=7,"Medium","Low")))</x:f>
        <x:v>Medium</x:v>
      </x:c>
      <x:c r="O16" s="20" t="str">
        <x:v>Employee privacy breach, fraudulent changes or HR process disruption.</x:v>
      </x:c>
      <x:c r="P16" s="20" t="str">
        <x:v>Unauthorized access / data modification</x:v>
      </x:c>
      <x:c r="Q16" s="20" t="str">
        <x:v>Valid Accounts (T1078); Data from Information Repositories</x:v>
      </x:c>
      <x:c r="R16" s="20" t="str">
        <x:v>PR.AA; PR.DS; DE.CM</x:v>
      </x:c>
      <x:c r="S16" s="20" t="str">
        <x:v>HR access review and export procedures need documentation.</x:v>
      </x:c>
      <x:c r="T16" s="20" t="str">
        <x:v>Yes</x:v>
      </x:c>
    </x:row>
    <x:row r="17">
      <x:c r="A17" s="20" t="str">
        <x:v>TV-16</x:v>
      </x:c>
      <x:c r="B17" s="20" t="str">
        <x:v>Cloud / SaaS</x:v>
      </x:c>
      <x:c r="C17" s="20" t="str">
        <x:v>Cloud accounting user or attacker alters banking or vendor details to enable payment fraud.</x:v>
      </x:c>
      <x:c r="D17" s="20" t="str">
        <x:v>External attacker or insider</x:v>
      </x:c>
      <x:c r="E17" s="20" t="str">
        <x:v>Compromised account / unauthorized change</x:v>
      </x:c>
      <x:c r="F17" s="20" t="str">
        <x:v>AST-005; AST-030; AST-004</x:v>
      </x:c>
      <x:c r="G17" s="20" t="str">
        <x:v>Accounting SaaS; Financial records; Finance email</x:v>
      </x:c>
      <x:c r="H17" s="20" t="n">
        <x:v>5</x:v>
      </x:c>
      <x:c r="I17" s="20" t="str">
        <x:v>Segregation-of-duties and change verification require stronger assurance; vendor logging not formally reviewed.</x:v>
      </x:c>
      <x:c r="J17" s="20" t="n">
        <x:v>5</x:v>
      </x:c>
      <x:c r="K17" s="20" t="str">
        <x:v>Admin MFA; audit trail; finance controls</x:v>
      </x:c>
      <x:c r="L17" s="20" t="str">
        <x:v>Moderate</x:v>
      </x:c>
      <x:c r="M17" s="20" t="n">
        <x:f>H17+J17+IF(L17="Strong",0,IF(L17="Moderate",1,IF(L17="Limited",2,IF(L17="Weak",3,0))))</x:f>
        <x:v>11</x:v>
      </x:c>
      <x:c r="N17" s="20" t="str">
        <x:f>IF(M17&gt;=12,"Critical",IF(M17&gt;=10,"High",IF(M17&gt;=7,"Medium","Low")))</x:f>
        <x:v>High</x:v>
      </x:c>
      <x:c r="O17" s="20" t="str">
        <x:v>Financial fraud and integrity loss in accounting records.</x:v>
      </x:c>
      <x:c r="P17" s="20" t="str">
        <x:v>Unauthorized financial modification</x:v>
      </x:c>
      <x:c r="Q17" s="20" t="str">
        <x:v>Valid Accounts (T1078); Modify Cloud Compute / application data modification</x:v>
      </x:c>
      <x:c r="R17" s="20" t="str">
        <x:v>PR.AA; DE.CM; GV.RR</x:v>
      </x:c>
      <x:c r="S17" s="20" t="str">
        <x:v>Accounting and financial-record assets are crown jewels.</x:v>
      </x:c>
      <x:c r="T17" s="20" t="str">
        <x:v>Yes</x:v>
      </x:c>
    </x:row>
    <x:row r="18">
      <x:c r="A18" s="20" t="str">
        <x:v>TV-17</x:v>
      </x:c>
      <x:c r="B18" s="20" t="str">
        <x:v>Cloud / SaaS</x:v>
      </x:c>
      <x:c r="C18" s="20" t="str">
        <x:v>Critical SaaS provider experiences an outage or destructive incident, interrupting core operations.</x:v>
      </x:c>
      <x:c r="D18" s="20" t="str">
        <x:v>Vendor failure / cyber incident</x:v>
      </x:c>
      <x:c r="E18" s="20" t="str">
        <x:v>Provider outage / control-plane failure</x:v>
      </x:c>
      <x:c r="F18" s="20" t="str">
        <x:v>AST-001; AST-005; AST-006; AST-007</x:v>
      </x:c>
      <x:c r="G18" s="20" t="str">
        <x:v>M365; Accounting; CRM; HRIS</x:v>
      </x:c>
      <x:c r="H18" s="20" t="n">
        <x:v>4</x:v>
      </x:c>
      <x:c r="I18" s="20" t="str">
        <x:v>Vendor resilience is largely assumed rather than evidenced; alternative workarounds are limited.</x:v>
      </x:c>
      <x:c r="J18" s="20" t="n">
        <x:v>3</x:v>
      </x:c>
      <x:c r="K18" s="20" t="str">
        <x:v>Vendor SLAs; exports; some local continuity procedures</x:v>
      </x:c>
      <x:c r="L18" s="20" t="str">
        <x:v>Moderate</x:v>
      </x:c>
      <x:c r="M18" s="20" t="n">
        <x:f>H18+J18+IF(L18="Strong",0,IF(L18="Moderate",1,IF(L18="Limited",2,IF(L18="Weak",3,0))))</x:f>
        <x:v>8</x:v>
      </x:c>
      <x:c r="N18" s="20" t="str">
        <x:f>IF(M18&gt;=12,"Critical",IF(M18&gt;=10,"High",IF(M18&gt;=7,"Medium","Low")))</x:f>
        <x:v>Medium</x:v>
      </x:c>
      <x:c r="O18" s="20" t="str">
        <x:v>Email, finance, CRM or HR service outage.</x:v>
      </x:c>
      <x:c r="P18" s="20" t="str">
        <x:v>Third-party availability disruption</x:v>
      </x:c>
      <x:c r="Q18" s="20" t="str">
        <x:v>Impact: Service Stop (T1489) / external dependency event</x:v>
      </x:c>
      <x:c r="R18" s="20" t="str">
        <x:v>GV.SC; PR.IR; RC.RP</x:v>
      </x:c>
      <x:c r="S18" s="20" t="str">
        <x:v>Several SaaS assets rely on vendor resilience.</x:v>
      </x:c>
      <x:c r="T18" s="20" t="str">
        <x:v>Yes</x:v>
      </x:c>
    </x:row>
    <x:row r="19">
      <x:c r="A19" s="20" t="str">
        <x:v>TV-18</x:v>
      </x:c>
      <x:c r="B19" s="20" t="str">
        <x:v>Network / Perimeter</x:v>
      </x:c>
      <x:c r="C19" s="20" t="str">
        <x:v>Internet-facing firewall vulnerability is exploited to gain network access or disrupt connectivity.</x:v>
      </x:c>
      <x:c r="D19" s="20" t="str">
        <x:v>External cybercriminal</x:v>
      </x:c>
      <x:c r="E19" s="20" t="str">
        <x:v>Exploit public-facing appliance</x:v>
      </x:c>
      <x:c r="F19" s="20" t="str">
        <x:v>AST-013; AST-014; AST-017</x:v>
      </x:c>
      <x:c r="G19" s="20" t="str">
        <x:v>Firewalls; VPN</x:v>
      </x:c>
      <x:c r="H19" s="20" t="n">
        <x:v>4</x:v>
      </x:c>
      <x:c r="I19" s="20" t="str">
        <x:v>Firmware lifecycle is inconsistent; branch firewall is older; rule/config review is informal.</x:v>
      </x:c>
      <x:c r="J19" s="20" t="n">
        <x:v>5</x:v>
      </x:c>
      <x:c r="K19" s="20" t="str">
        <x:v>Firewall controls; config backups; vendor updates</x:v>
      </x:c>
      <x:c r="L19" s="20" t="str">
        <x:v>Limited</x:v>
      </x:c>
      <x:c r="M19" s="20" t="n">
        <x:f>H19+J19+IF(L19="Strong",0,IF(L19="Moderate",1,IF(L19="Limited",2,IF(L19="Weak",3,0))))</x:f>
        <x:v>11</x:v>
      </x:c>
      <x:c r="N19" s="20" t="str">
        <x:f>IF(M19&gt;=12,"Critical",IF(M19&gt;=10,"High",IF(M19&gt;=7,"Medium","Low")))</x:f>
        <x:v>High</x:v>
      </x:c>
      <x:c r="O19" s="20" t="str">
        <x:v>Unauthorized network access, credential theft, remote-access compromise or outage.</x:v>
      </x:c>
      <x:c r="P19" s="20" t="str">
        <x:v>Perimeter compromise</x:v>
      </x:c>
      <x:c r="Q19" s="20" t="str">
        <x:v>Initial Access: Exploit Public-Facing Application (T1190)</x:v>
      </x:c>
      <x:c r="R19" s="20" t="str">
        <x:v>PR.PS; ID.RA; DE.CM; RS.MI</x:v>
      </x:c>
      <x:c r="S19" s="20" t="str">
        <x:v>Perimeter devices are internet-facing and flagged for firmware/process gaps.</x:v>
      </x:c>
      <x:c r="T19" s="20" t="str">
        <x:v>Yes</x:v>
      </x:c>
    </x:row>
    <x:row r="20">
      <x:c r="A20" s="20" t="str">
        <x:v>TV-19</x:v>
      </x:c>
      <x:c r="B20" s="20" t="str">
        <x:v>Network / Perimeter</x:v>
      </x:c>
      <x:c r="C20" s="20" t="str">
        <x:v>Firewall or VPN misconfiguration exposes internal services or weakens segmentation.</x:v>
      </x:c>
      <x:c r="D20" s="20" t="str">
        <x:v>Configuration error / insider</x:v>
      </x:c>
      <x:c r="E20" s="20" t="str">
        <x:v>Administrative misconfiguration</x:v>
      </x:c>
      <x:c r="F20" s="20" t="str">
        <x:v>AST-013; AST-014; AST-017; AST-015</x:v>
      </x:c>
      <x:c r="G20" s="20" t="str">
        <x:v>Firewalls; VPN; Core switches</x:v>
      </x:c>
      <x:c r="H20" s="20" t="n">
        <x:v>4</x:v>
      </x:c>
      <x:c r="I20" s="20" t="str">
        <x:v>Configuration baseline, rule review and change documentation are incomplete.</x:v>
      </x:c>
      <x:c r="J20" s="20" t="n">
        <x:v>4</x:v>
      </x:c>
      <x:c r="K20" s="20" t="str">
        <x:v>Managed firewalls; config backups; admin authentication</x:v>
      </x:c>
      <x:c r="L20" s="20" t="str">
        <x:v>Limited</x:v>
      </x:c>
      <x:c r="M20" s="20" t="n">
        <x:f>H20+J20+IF(L20="Strong",0,IF(L20="Moderate",1,IF(L20="Limited",2,IF(L20="Weak",3,0))))</x:f>
        <x:v>10</x:v>
      </x:c>
      <x:c r="N20" s="20" t="str">
        <x:f>IF(M20&gt;=12,"Critical",IF(M20&gt;=10,"High",IF(M20&gt;=7,"Medium","Low")))</x:f>
        <x:v>High</x:v>
      </x:c>
      <x:c r="O20" s="20" t="str">
        <x:v>Unauthorized access path, exposed services or loss of segmentation.</x:v>
      </x:c>
      <x:c r="P20" s="20" t="str">
        <x:v>Security control bypass</x:v>
      </x:c>
      <x:c r="Q20" s="20" t="str">
        <x:v>Defense Evasion / Network Service Discovery / Exploitation for Client Execution</x:v>
      </x:c>
      <x:c r="R20" s="20" t="str">
        <x:v>PR.PS; GV.PO; ID.RA</x:v>
      </x:c>
      <x:c r="S20" s="20" t="str">
        <x:v>Inventory identifies inconsistent configuration/change governance.</x:v>
      </x:c>
      <x:c r="T20" s="20" t="str">
        <x:v>Yes</x:v>
      </x:c>
    </x:row>
    <x:row r="21">
      <x:c r="A21" s="20" t="str">
        <x:v>TV-20</x:v>
      </x:c>
      <x:c r="B21" s="20" t="str">
        <x:v>Network / Perimeter</x:v>
      </x:c>
      <x:c r="C21" s="20" t="str">
        <x:v>Legacy VPN account without MFA is compromised and used for remote network entry.</x:v>
      </x:c>
      <x:c r="D21" s="20" t="str">
        <x:v>External cybercriminal</x:v>
      </x:c>
      <x:c r="E21" s="20" t="str">
        <x:v>Credential stuffing / stolen password</x:v>
      </x:c>
      <x:c r="F21" s="20" t="str">
        <x:v>AST-017; AST-018; AST-019</x:v>
      </x:c>
      <x:c r="G21" s="20" t="str">
        <x:v>VPN; Legacy AD; File server</x:v>
      </x:c>
      <x:c r="H21" s="20" t="n">
        <x:v>5</x:v>
      </x:c>
      <x:c r="I21" s="20" t="str">
        <x:v>Some legacy remote-access accounts remain exempt from MFA; inactive accounts require review.</x:v>
      </x:c>
      <x:c r="J21" s="20" t="n">
        <x:v>5</x:v>
      </x:c>
      <x:c r="K21" s="20" t="str">
        <x:v>VPN logs; MFA for most users</x:v>
      </x:c>
      <x:c r="L21" s="20" t="str">
        <x:v>Limited</x:v>
      </x:c>
      <x:c r="M21" s="20" t="n">
        <x:f>H21+J21+IF(L21="Strong",0,IF(L21="Moderate",1,IF(L21="Limited",2,IF(L21="Weak",3,0))))</x:f>
        <x:v>12</x:v>
      </x:c>
      <x:c r="N21" s="20" t="str">
        <x:f>IF(M21&gt;=12,"Critical",IF(M21&gt;=10,"High",IF(M21&gt;=7,"Medium","Low")))</x:f>
        <x:v>Critical</x:v>
      </x:c>
      <x:c r="O21" s="20" t="str">
        <x:v>Remote access, lateral movement and ransomware path to legacy infrastructure.</x:v>
      </x:c>
      <x:c r="P21" s="20" t="str">
        <x:v>Remote access compromise</x:v>
      </x:c>
      <x:c r="Q21" s="20" t="str">
        <x:v>External Remote Services (T1133); Valid Accounts (T1078)</x:v>
      </x:c>
      <x:c r="R21" s="20" t="str">
        <x:v>PR.AA; DE.CM; RS.AN</x:v>
      </x:c>
      <x:c r="S21" s="20" t="str">
        <x:v>Directly identified in VPN asset observation.</x:v>
      </x:c>
      <x:c r="T21" s="20" t="str">
        <x:v>Yes</x:v>
      </x:c>
    </x:row>
    <x:row r="22">
      <x:c r="A22" s="20" t="str">
        <x:v>TV-21</x:v>
      </x:c>
      <x:c r="B22" s="20" t="str">
        <x:v>Network / Perimeter</x:v>
      </x:c>
      <x:c r="C22" s="20" t="str">
        <x:v>Corporate Wi-Fi shared credential is reused or disclosed, enabling unauthorized network access.</x:v>
      </x:c>
      <x:c r="D22" s="20" t="str">
        <x:v>External/visitor / former employee</x:v>
      </x:c>
      <x:c r="E22" s="20" t="str">
        <x:v>Shared PSK compromise</x:v>
      </x:c>
      <x:c r="F22" s="20" t="str">
        <x:v>AST-016; AST-015</x:v>
      </x:c>
      <x:c r="G22" s="20" t="str">
        <x:v>Corporate Wi-Fi; Core LAN</x:v>
      </x:c>
      <x:c r="H22" s="20" t="n">
        <x:v>3</x:v>
      </x:c>
      <x:c r="I22" s="20" t="str">
        <x:v>Legacy shared PSK remains for some devices; guest separation needs validation.</x:v>
      </x:c>
      <x:c r="J22" s="20" t="n">
        <x:v>3</x:v>
      </x:c>
      <x:c r="K22" s="20" t="str">
        <x:v>Enterprise Wi-Fi controls; firewall segmentation</x:v>
      </x:c>
      <x:c r="L22" s="20" t="str">
        <x:v>Moderate</x:v>
      </x:c>
      <x:c r="M22" s="20" t="n">
        <x:f>H22+J22+IF(L22="Strong",0,IF(L22="Moderate",1,IF(L22="Limited",2,IF(L22="Weak",3,0))))</x:f>
        <x:v>7</x:v>
      </x:c>
      <x:c r="N22" s="20" t="str">
        <x:f>IF(M22&gt;=12,"Critical",IF(M22&gt;=10,"High",IF(M22&gt;=7,"Medium","Low")))</x:f>
        <x:v>Medium</x:v>
      </x:c>
      <x:c r="O22" s="20" t="str">
        <x:v>Unauthorized network access and potential internal reconnaissance.</x:v>
      </x:c>
      <x:c r="P22" s="20" t="str">
        <x:v>Unauthorized network access</x:v>
      </x:c>
      <x:c r="Q22" s="20" t="str">
        <x:v>Initial Access / Network Service Discovery</x:v>
      </x:c>
      <x:c r="R22" s="20" t="str">
        <x:v>PR.AA; PR.PS</x:v>
      </x:c>
      <x:c r="S22" s="20" t="str">
        <x:v>Wi-Fi posture notes legacy PSK and guest-separation questions.</x:v>
      </x:c>
      <x:c r="T22" s="20" t="str">
        <x:v>Yes</x:v>
      </x:c>
    </x:row>
    <x:row r="23">
      <x:c r="A23" s="20" t="str">
        <x:v>TV-22</x:v>
      </x:c>
      <x:c r="B23" s="20" t="str">
        <x:v>Third Party / Supply Chain</x:v>
      </x:c>
      <x:c r="C23" s="20" t="str">
        <x:v>RMM vendor or RMM administrator account is compromised and used to execute malicious actions on many endpoints.</x:v>
      </x:c>
      <x:c r="D23" s="20" t="str">
        <x:v>External supply-chain attacker</x:v>
      </x:c>
      <x:c r="E23" s="20" t="str">
        <x:v>Compromised RMM platform / admin account</x:v>
      </x:c>
      <x:c r="F23" s="20" t="str">
        <x:v>AST-022; AST-009; AST-012; AST-023</x:v>
      </x:c>
      <x:c r="G23" s="20" t="str">
        <x:v>RMM; Endpoint fleet; Admin workstations; EDR</x:v>
      </x:c>
      <x:c r="H23" s="20" t="n">
        <x:v>5</x:v>
      </x:c>
      <x:c r="I23" s="20" t="str">
        <x:v>Vendor assurance and RMM role permissions need review; tool has broad remote-control capability.</x:v>
      </x:c>
      <x:c r="J23" s="20" t="n">
        <x:v>5</x:v>
      </x:c>
      <x:c r="K23" s="20" t="str">
        <x:v>MFA for IT team; vendor logs; endpoint protection</x:v>
      </x:c>
      <x:c r="L23" s="20" t="str">
        <x:v>Limited</x:v>
      </x:c>
      <x:c r="M23" s="20" t="n">
        <x:f>H23+J23+IF(L23="Strong",0,IF(L23="Moderate",1,IF(L23="Limited",2,IF(L23="Weak",3,0))))</x:f>
        <x:v>12</x:v>
      </x:c>
      <x:c r="N23" s="20" t="str">
        <x:f>IF(M23&gt;=12,"Critical",IF(M23&gt;=10,"High",IF(M23&gt;=7,"Medium","Low")))</x:f>
        <x:v>Critical</x:v>
      </x:c>
      <x:c r="O23" s="20" t="str">
        <x:v>Mass endpoint compromise, ransomware deployment or credential theft.</x:v>
      </x:c>
      <x:c r="P23" s="20" t="str">
        <x:v>Supply-chain / remote administration compromise</x:v>
      </x:c>
      <x:c r="Q23" s="20" t="str">
        <x:v>Initial Access: Trusted Relationship (T1199); Remote Services; Command Execution</x:v>
      </x:c>
      <x:c r="R23" s="20" t="str">
        <x:v>GV.SC; PR.AA; DE.CM; RS.MI</x:v>
      </x:c>
      <x:c r="S23" s="20" t="str">
        <x:v>RMM identified as high-impact supply-chain asset.</x:v>
      </x:c>
      <x:c r="T23" s="20" t="str">
        <x:v>Yes</x:v>
      </x:c>
    </x:row>
    <x:row r="24">
      <x:c r="A24" s="20" t="str">
        <x:v>TV-23</x:v>
      </x:c>
      <x:c r="B24" s="20" t="str">
        <x:v>Third Party / Supply Chain</x:v>
      </x:c>
      <x:c r="C24" s="20" t="str">
        <x:v>Managed IT provider technician account is abused or remains active after role/contract change.</x:v>
      </x:c>
      <x:c r="D24" s="20" t="str">
        <x:v>Third-party insider or attacker</x:v>
      </x:c>
      <x:c r="E24" s="20" t="str">
        <x:v>Vendor privileged access</x:v>
      </x:c>
      <x:c r="F24" s="20" t="str">
        <x:v>AST-035; AST-022; AST-013; AST-009</x:v>
      </x:c>
      <x:c r="G24" s="20" t="str">
        <x:v>Managed IT provider; RMM; Network; Endpoints</x:v>
      </x:c>
      <x:c r="H24" s="20" t="n">
        <x:v>4</x:v>
      </x:c>
      <x:c r="I24" s="20" t="str">
        <x:v>Contractual security obligations, access review and offboarding evidence require strengthening.</x:v>
      </x:c>
      <x:c r="J24" s="20" t="n">
        <x:v>5</x:v>
      </x:c>
      <x:c r="K24" s="20" t="str">
        <x:v>Named accounts; some MFA; ticketing</x:v>
      </x:c>
      <x:c r="L24" s="20" t="str">
        <x:v>Limited</x:v>
      </x:c>
      <x:c r="M24" s="20" t="n">
        <x:f>H24+J24+IF(L24="Strong",0,IF(L24="Moderate",1,IF(L24="Limited",2,IF(L24="Weak",3,0))))</x:f>
        <x:v>11</x:v>
      </x:c>
      <x:c r="N24" s="20" t="str">
        <x:f>IF(M24&gt;=12,"Critical",IF(M24&gt;=10,"High",IF(M24&gt;=7,"Medium","Low")))</x:f>
        <x:v>High</x:v>
      </x:c>
      <x:c r="O24" s="20" t="str">
        <x:v>Unauthorized administration across endpoints/network or loss of sensitive data.</x:v>
      </x:c>
      <x:c r="P24" s="20" t="str">
        <x:v>Third-party privileged access abuse</x:v>
      </x:c>
      <x:c r="Q24" s="20" t="str">
        <x:v>Trusted Relationship (T1199); Valid Accounts (T1078)</x:v>
      </x:c>
      <x:c r="R24" s="20" t="str">
        <x:v>GV.SC; PR.AA; GV.RR</x:v>
      </x:c>
      <x:c r="S24" s="20" t="str">
        <x:v>Third-party access governance is an explicit asset concern.</x:v>
      </x:c>
      <x:c r="T24" s="20" t="str">
        <x:v>Yes</x:v>
      </x:c>
    </x:row>
    <x:row r="25">
      <x:c r="A25" s="20" t="str">
        <x:v>TV-24</x:v>
      </x:c>
      <x:c r="B25" s="20" t="str">
        <x:v>Third Party / Supply Chain</x:v>
      </x:c>
      <x:c r="C25" s="20" t="str">
        <x:v>Critical SaaS vendor suffers data breach exposing company customer or employee information.</x:v>
      </x:c>
      <x:c r="D25" s="20" t="str">
        <x:v>External vendor attacker</x:v>
      </x:c>
      <x:c r="E25" s="20" t="str">
        <x:v>Vendor compromise</x:v>
      </x:c>
      <x:c r="F25" s="20" t="str">
        <x:v>AST-006; AST-007; AST-005; AST-028; AST-029; AST-030</x:v>
      </x:c>
      <x:c r="G25" s="20" t="str">
        <x:v>CRM; HRIS; Accounting; Customer/HR/Financial data</x:v>
      </x:c>
      <x:c r="H25" s="20" t="n">
        <x:v>4</x:v>
      </x:c>
      <x:c r="I25" s="20" t="str">
        <x:v>Vendor security assurance and logging/recovery evidence are not consistently reviewed.</x:v>
      </x:c>
      <x:c r="J25" s="20" t="n">
        <x:v>4</x:v>
      </x:c>
      <x:c r="K25" s="20" t="str">
        <x:v>Vendor contracts; SaaS security controls; internal access controls</x:v>
      </x:c>
      <x:c r="L25" s="20" t="str">
        <x:v>Moderate</x:v>
      </x:c>
      <x:c r="M25" s="20" t="n">
        <x:f>H25+J25+IF(L25="Strong",0,IF(L25="Moderate",1,IF(L25="Limited",2,IF(L25="Weak",3,0))))</x:f>
        <x:v>9</x:v>
      </x:c>
      <x:c r="N25" s="20" t="str">
        <x:f>IF(M25&gt;=12,"Critical",IF(M25&gt;=10,"High",IF(M25&gt;=7,"Medium","Low")))</x:f>
        <x:v>Medium</x:v>
      </x:c>
      <x:c r="O25" s="20" t="str">
        <x:v>Confidential data exposure, business disruption and incident response costs.</x:v>
      </x:c>
      <x:c r="P25" s="20" t="str">
        <x:v>Third-party data breach</x:v>
      </x:c>
      <x:c r="Q25" s="20" t="str">
        <x:v>Trusted Relationship (T1199); Exfiltration</x:v>
      </x:c>
      <x:c r="R25" s="20" t="str">
        <x:v>GV.SC; ID.RA; RS.CO</x:v>
      </x:c>
      <x:c r="S25" s="20" t="str">
        <x:v>Multiple SaaS assets note assurance gaps.</x:v>
      </x:c>
      <x:c r="T25" s="20" t="str">
        <x:v>Yes</x:v>
      </x:c>
    </x:row>
    <x:row r="26">
      <x:c r="A26" s="20" t="str">
        <x:v>TV-25</x:v>
      </x:c>
      <x:c r="B26" s="20" t="str">
        <x:v>Web / Internet</x:v>
      </x:c>
      <x:c r="C26" s="20" t="str">
        <x:v>Public website CMS/plugin vulnerability is exploited to deface the site, steal inquiry data or host malicious content.</x:v>
      </x:c>
      <x:c r="D26" s="20" t="str">
        <x:v>External attacker</x:v>
      </x:c>
      <x:c r="E26" s="20" t="str">
        <x:v>Exploit CMS/plugin / web vulnerability</x:v>
      </x:c>
      <x:c r="F26" s="20" t="str">
        <x:v>AST-024; AST-025</x:v>
      </x:c>
      <x:c r="G26" s="20" t="str">
        <x:v>Public website; DNS/domain</x:v>
      </x:c>
      <x:c r="H26" s="20" t="n">
        <x:v>4</x:v>
      </x:c>
      <x:c r="I26" s="20" t="str">
        <x:v>Patching responsibility and web-form protection are not clearly owned.</x:v>
      </x:c>
      <x:c r="J26" s="20" t="n">
        <x:v>4</x:v>
      </x:c>
      <x:c r="K26" s="20" t="str">
        <x:v>Managed hosting; CMS admin accounts; backups</x:v>
      </x:c>
      <x:c r="L26" s="20" t="str">
        <x:v>Limited</x:v>
      </x:c>
      <x:c r="M26" s="20" t="n">
        <x:f>H26+J26+IF(L26="Strong",0,IF(L26="Moderate",1,IF(L26="Limited",2,IF(L26="Weak",3,0))))</x:f>
        <x:v>10</x:v>
      </x:c>
      <x:c r="N26" s="20" t="str">
        <x:f>IF(M26&gt;=12,"Critical",IF(M26&gt;=10,"High",IF(M26&gt;=7,"Medium","Low")))</x:f>
        <x:v>High</x:v>
      </x:c>
      <x:c r="O26" s="20" t="str">
        <x:v>Website compromise, reputational damage, malicious redirects or inquiry-data exposure.</x:v>
      </x:c>
      <x:c r="P26" s="20" t="str">
        <x:v>Web application compromise</x:v>
      </x:c>
      <x:c r="Q26" s="20" t="str">
        <x:v>Exploit Public-Facing Application (T1190); Web Shell (T1505.003)</x:v>
      </x:c>
      <x:c r="R26" s="20" t="str">
        <x:v>PR.PS; ID.RA; DE.CM</x:v>
      </x:c>
      <x:c r="S26" s="20" t="str">
        <x:v>Website asset explicitly flags ownership and patching gaps.</x:v>
      </x:c>
      <x:c r="T26" s="20" t="str">
        <x:v>Yes</x:v>
      </x:c>
    </x:row>
    <x:row r="27">
      <x:c r="A27" s="20" t="str">
        <x:v>TV-26</x:v>
      </x:c>
      <x:c r="B27" s="20" t="str">
        <x:v>Web / Internet</x:v>
      </x:c>
      <x:c r="C27" s="20" t="str">
        <x:v>Domain registrar account compromise changes DNS/MX records and redirects web/email traffic.</x:v>
      </x:c>
      <x:c r="D27" s="20" t="str">
        <x:v>External cybercriminal</x:v>
      </x:c>
      <x:c r="E27" s="20" t="str">
        <x:v>Credential phishing / account takeover</x:v>
      </x:c>
      <x:c r="F27" s="20" t="str">
        <x:v>AST-025; AST-001; AST-024</x:v>
      </x:c>
      <x:c r="G27" s="20" t="str">
        <x:v>DNS/Registrar; M365; Website</x:v>
      </x:c>
      <x:c r="H27" s="20" t="n">
        <x:v>4</x:v>
      </x:c>
      <x:c r="I27" s="20" t="str">
        <x:v>Domain takeover has enterprise-wide impact; recovery contacts require validation.</x:v>
      </x:c>
      <x:c r="J27" s="20" t="n">
        <x:v>5</x:v>
      </x:c>
      <x:c r="K27" s="20" t="str">
        <x:v>Registrar MFA; account logs</x:v>
      </x:c>
      <x:c r="L27" s="20" t="str">
        <x:v>Moderate</x:v>
      </x:c>
      <x:c r="M27" s="20" t="n">
        <x:f>H27+J27+IF(L27="Strong",0,IF(L27="Moderate",1,IF(L27="Limited",2,IF(L27="Weak",3,0))))</x:f>
        <x:v>10</x:v>
      </x:c>
      <x:c r="N27" s="20" t="str">
        <x:f>IF(M27&gt;=12,"Critical",IF(M27&gt;=10,"High",IF(M27&gt;=7,"Medium","Low")))</x:f>
        <x:v>High</x:v>
      </x:c>
      <x:c r="O27" s="20" t="str">
        <x:v>Email disruption/interception, website redirection and persistent fraud infrastructure.</x:v>
      </x:c>
      <x:c r="P27" s="20" t="str">
        <x:v>Domain/DNS hijack</x:v>
      </x:c>
      <x:c r="Q27" s="20" t="str">
        <x:v>Account Access Removal / Modify Cloud Data / Network Redirection</x:v>
      </x:c>
      <x:c r="R27" s="20" t="str">
        <x:v>PR.AA; PR.PS; RC.RP</x:v>
      </x:c>
      <x:c r="S27" s="20" t="str">
        <x:v>DNS/domain is a crown-jewel dependency.</x:v>
      </x:c>
      <x:c r="T27" s="20" t="str">
        <x:v>Yes</x:v>
      </x:c>
    </x:row>
    <x:row r="28">
      <x:c r="A28" s="20" t="str">
        <x:v>TV-27</x:v>
      </x:c>
      <x:c r="B28" s="20" t="str">
        <x:v>Web / Internet</x:v>
      </x:c>
      <x:c r="C28" s="20" t="str">
        <x:v>Distributed denial-of-service attack disrupts internet-facing website, VPN or office connectivity.</x:v>
      </x:c>
      <x:c r="D28" s="20" t="str">
        <x:v>External attacker / botnet</x:v>
      </x:c>
      <x:c r="E28" s="20" t="str">
        <x:v>Network/application DDoS</x:v>
      </x:c>
      <x:c r="F28" s="20" t="str">
        <x:v>AST-013; AST-017; AST-024; AST-026; AST-027</x:v>
      </x:c>
      <x:c r="G28" s="20" t="str">
        <x:v>Firewall; VPN; Website; ISPs</x:v>
      </x:c>
      <x:c r="H28" s="20" t="n">
        <x:v>3</x:v>
      </x:c>
      <x:c r="I28" s="20" t="str">
        <x:v>Internet resilience is limited and Kingston has a single primary circuit with constrained failover.</x:v>
      </x:c>
      <x:c r="J28" s="20" t="n">
        <x:v>4</x:v>
      </x:c>
      <x:c r="K28" s="20" t="str">
        <x:v>ISP protections; firewall; mobile/branch failover</x:v>
      </x:c>
      <x:c r="L28" s="20" t="str">
        <x:v>Moderate</x:v>
      </x:c>
      <x:c r="M28" s="20" t="n">
        <x:f>H28+J28+IF(L28="Strong",0,IF(L28="Moderate",1,IF(L28="Limited",2,IF(L28="Weak",3,0))))</x:f>
        <x:v>8</x:v>
      </x:c>
      <x:c r="N28" s="20" t="str">
        <x:f>IF(M28&gt;=12,"Critical",IF(M28&gt;=10,"High",IF(M28&gt;=7,"Medium","Low")))</x:f>
        <x:v>Medium</x:v>
      </x:c>
      <x:c r="O28" s="20" t="str">
        <x:v>Remote-access or public-service outage; productivity loss.</x:v>
      </x:c>
      <x:c r="P28" s="20" t="str">
        <x:v>Availability disruption</x:v>
      </x:c>
      <x:c r="Q28" s="20" t="str">
        <x:v>Impact: Network Denial of Service (T1498)</x:v>
      </x:c>
      <x:c r="R28" s="20" t="str">
        <x:v>PR.IR; RC.RP; GV.SC</x:v>
      </x:c>
      <x:c r="S28" s="20" t="str">
        <x:v>Connectivity assets show limited redundancy.</x:v>
      </x:c>
      <x:c r="T28" s="20" t="str">
        <x:v>Yes</x:v>
      </x:c>
    </x:row>
    <x:row r="29">
      <x:c r="A29" s="20" t="str">
        <x:v>TV-28</x:v>
      </x:c>
      <x:c r="B29" s="20" t="str">
        <x:v>Insider / Human</x:v>
      </x:c>
      <x:c r="C29" s="20" t="str">
        <x:v>Employee intentionally exports customer or financial data before resignation.</x:v>
      </x:c>
      <x:c r="D29" s="20" t="str">
        <x:v>Malicious insider</x:v>
      </x:c>
      <x:c r="E29" s="20" t="str">
        <x:v>Authorized export / cloud sharing / removable media</x:v>
      </x:c>
      <x:c r="F29" s="20" t="str">
        <x:v>AST-006; AST-008; AST-028; AST-030; AST-009</x:v>
      </x:c>
      <x:c r="G29" s="20" t="str">
        <x:v>CRM; SharePoint; Customer/Financial data; Laptops</x:v>
      </x:c>
      <x:c r="H29" s="20" t="n">
        <x:v>3</x:v>
      </x:c>
      <x:c r="I29" s="20" t="str">
        <x:v>Broad export/sharing permissions and fragmented monitoring make large data movement difficult to detect.</x:v>
      </x:c>
      <x:c r="J29" s="20" t="n">
        <x:v>5</x:v>
      </x:c>
      <x:c r="K29" s="20" t="str">
        <x:v>Application logs; endpoint protection; limited access reviews</x:v>
      </x:c>
      <x:c r="L29" s="20" t="str">
        <x:v>Limited</x:v>
      </x:c>
      <x:c r="M29" s="20" t="n">
        <x:f>H29+J29+IF(L29="Strong",0,IF(L29="Moderate",1,IF(L29="Limited",2,IF(L29="Weak",3,0))))</x:f>
        <x:v>10</x:v>
      </x:c>
      <x:c r="N29" s="20" t="str">
        <x:f>IF(M29&gt;=12,"Critical",IF(M29&gt;=10,"High",IF(M29&gt;=7,"Medium","Low")))</x:f>
        <x:v>High</x:v>
      </x:c>
      <x:c r="O29" s="20" t="str">
        <x:v>Confidential data theft, competitive loss and client trust damage.</x:v>
      </x:c>
      <x:c r="P29" s="20" t="str">
        <x:v>Insider data exfiltration</x:v>
      </x:c>
      <x:c r="Q29" s="20" t="str">
        <x:v>Collection; Exfiltration Over Web Service; Exfiltration Over Physical Medium</x:v>
      </x:c>
      <x:c r="R29" s="20" t="str">
        <x:v>DE.CM; PR.AA; PR.DS</x:v>
      </x:c>
      <x:c r="S29" s="20" t="str">
        <x:v>Export and logging weaknesses recur across cloud/data assets.</x:v>
      </x:c>
      <x:c r="T29" s="20" t="str">
        <x:v>Yes</x:v>
      </x:c>
    </x:row>
    <x:row r="30">
      <x:c r="A30" s="20" t="str">
        <x:v>TV-29</x:v>
      </x:c>
      <x:c r="B30" s="20" t="str">
        <x:v>Insider / Human</x:v>
      </x:c>
      <x:c r="C30" s="20" t="str">
        <x:v>Accidental email or cloud-sharing error exposes customer, employee or financial information.</x:v>
      </x:c>
      <x:c r="D30" s="20" t="str">
        <x:v>Employee error</x:v>
      </x:c>
      <x:c r="E30" s="20" t="str">
        <x:v>Misdirected email / wrong link permissions</x:v>
      </x:c>
      <x:c r="F30" s="20" t="str">
        <x:v>AST-001; AST-008; AST-028; AST-029; AST-030</x:v>
      </x:c>
      <x:c r="G30" s="20" t="str">
        <x:v>M365; SharePoint; Sensitive datasets</x:v>
      </x:c>
      <x:c r="H30" s="20" t="n">
        <x:v>4</x:v>
      </x:c>
      <x:c r="I30" s="20" t="str">
        <x:v>External-sharing governance and user safeguards are not consistently enforced.</x:v>
      </x:c>
      <x:c r="J30" s="20" t="n">
        <x:v>3</x:v>
      </x:c>
      <x:c r="K30" s="20" t="str">
        <x:v>Email protection; application permissions; basic training</x:v>
      </x:c>
      <x:c r="L30" s="20" t="str">
        <x:v>Moderate</x:v>
      </x:c>
      <x:c r="M30" s="20" t="n">
        <x:f>H30+J30+IF(L30="Strong",0,IF(L30="Moderate",1,IF(L30="Limited",2,IF(L30="Weak",3,0))))</x:f>
        <x:v>8</x:v>
      </x:c>
      <x:c r="N30" s="20" t="str">
        <x:f>IF(M30&gt;=12,"Critical",IF(M30&gt;=10,"High",IF(M30&gt;=7,"Medium","Low")))</x:f>
        <x:v>Medium</x:v>
      </x:c>
      <x:c r="O30" s="20" t="str">
        <x:v>Confidentiality breach and remediation workload.</x:v>
      </x:c>
      <x:c r="P30" s="20" t="str">
        <x:v>Accidental disclosure</x:v>
      </x:c>
      <x:c r="Q30" s="20" t="str">
        <x:v>User-driven disclosure scenario</x:v>
      </x:c>
      <x:c r="R30" s="20" t="str">
        <x:v>PR.AT; PR.DS; DE.CM</x:v>
      </x:c>
      <x:c r="S30" s="20" t="str">
        <x:v>Sharing controls identified as a key M365 weakness.</x:v>
      </x:c>
      <x:c r="T30" s="20" t="str">
        <x:v>Yes</x:v>
      </x:c>
    </x:row>
    <x:row r="31">
      <x:c r="A31" s="20" t="str">
        <x:v>TV-30</x:v>
      </x:c>
      <x:c r="B31" s="20" t="str">
        <x:v>Insider / Human</x:v>
      </x:c>
      <x:c r="C31" s="20" t="str">
        <x:v>IT administrator makes an unauthorized or erroneous change that disrupts critical cloud/network services.</x:v>
      </x:c>
      <x:c r="D31" s="20" t="str">
        <x:v>Privileged insider / human error</x:v>
      </x:c>
      <x:c r="E31" s="20" t="str">
        <x:v>Administrative console change</x:v>
      </x:c>
      <x:c r="F31" s="20" t="str">
        <x:v>AST-012; AST-002; AST-013; AST-014; AST-020</x:v>
      </x:c>
      <x:c r="G31" s="20" t="str">
        <x:v>Admin workstation; Identity; Firewalls; Virtualization</x:v>
      </x:c>
      <x:c r="H31" s="20" t="n">
        <x:v>3</x:v>
      </x:c>
      <x:c r="I31" s="20" t="str">
        <x:v>Privileged administration is concentrated and change-control documentation is limited.</x:v>
      </x:c>
      <x:c r="J31" s="20" t="n">
        <x:v>5</x:v>
      </x:c>
      <x:c r="K31" s="20" t="str">
        <x:v>Admin MFA; config backups; audit logs</x:v>
      </x:c>
      <x:c r="L31" s="20" t="str">
        <x:v>Moderate</x:v>
      </x:c>
      <x:c r="M31" s="20" t="n">
        <x:f>H31+J31+IF(L31="Strong",0,IF(L31="Moderate",1,IF(L31="Limited",2,IF(L31="Weak",3,0))))</x:f>
        <x:v>9</x:v>
      </x:c>
      <x:c r="N31" s="20" t="str">
        <x:f>IF(M31&gt;=12,"Critical",IF(M31&gt;=10,"High",IF(M31&gt;=7,"Medium","Low")))</x:f>
        <x:v>Medium</x:v>
      </x:c>
      <x:c r="O31" s="20" t="str">
        <x:v>Authentication, network or server outage; security control weakening.</x:v>
      </x:c>
      <x:c r="P31" s="20" t="str">
        <x:v>Privileged configuration error / abuse</x:v>
      </x:c>
      <x:c r="Q31" s="20" t="str">
        <x:v>Account Manipulation; Impair Defenses; System Settings Discovery</x:v>
      </x:c>
      <x:c r="R31" s="20" t="str">
        <x:v>GV.RR; GV.PO; PR.AA; DE.CM</x:v>
      </x:c>
      <x:c r="S31" s="20" t="str">
        <x:v>Concentrated privileged administration and limited change controls noted in context.</x:v>
      </x:c>
      <x:c r="T31" s="20" t="str">
        <x:v>Yes</x:v>
      </x:c>
    </x:row>
    <x:row r="32">
      <x:c r="A32" s="20" t="str">
        <x:v>TV-31</x:v>
      </x:c>
      <x:c r="B32" s="20" t="str">
        <x:v>Malware / Ransomware</x:v>
      </x:c>
      <x:c r="C32" s="20" t="str">
        <x:v>Legacy Active Directory or server vulnerability is exploited for privilege escalation and lateral movement.</x:v>
      </x:c>
      <x:c r="D32" s="20" t="str">
        <x:v>External attacker after initial foothold</x:v>
      </x:c>
      <x:c r="E32" s="20" t="str">
        <x:v>Exploit legacy service / credential attack</x:v>
      </x:c>
      <x:c r="F32" s="20" t="str">
        <x:v>AST-018; AST-019; AST-020; AST-031</x:v>
      </x:c>
      <x:c r="G32" s="20" t="str">
        <x:v>Legacy AD; File server; Virtualization; Admin credentials</x:v>
      </x:c>
      <x:c r="H32" s="20" t="n">
        <x:v>5</x:v>
      </x:c>
      <x:c r="I32" s="20" t="str">
        <x:v>Legacy technical debt, limited monitoring, inherited permissions and older components increase exploitability.</x:v>
      </x:c>
      <x:c r="J32" s="20" t="n">
        <x:v>5</x:v>
      </x:c>
      <x:c r="K32" s="20" t="str">
        <x:v>Backups; endpoint protection; domain authentication</x:v>
      </x:c>
      <x:c r="L32" s="20" t="str">
        <x:v>Weak</x:v>
      </x:c>
      <x:c r="M32" s="20" t="n">
        <x:f>H32+J32+IF(L32="Strong",0,IF(L32="Moderate",1,IF(L32="Limited",2,IF(L32="Weak",3,0))))</x:f>
        <x:v>13</x:v>
      </x:c>
      <x:c r="N32" s="20" t="str">
        <x:f>IF(M32&gt;=12,"Critical",IF(M32&gt;=10,"High",IF(M32&gt;=7,"Medium","Low")))</x:f>
        <x:v>Critical</x:v>
      </x:c>
      <x:c r="O32" s="20" t="str">
        <x:v>Domain compromise, ransomware spread, file access and persistence.</x:v>
      </x:c>
      <x:c r="P32" s="20" t="str">
        <x:v>Legacy infrastructure compromise</x:v>
      </x:c>
      <x:c r="Q32" s="20" t="str">
        <x:v>Privilege Escalation; Lateral Movement; OS Credential Dumping (T1003)</x:v>
      </x:c>
      <x:c r="R32" s="20" t="str">
        <x:v>ID.RA; PR.PS; DE.CM; RS.MI</x:v>
      </x:c>
      <x:c r="S32" s="20" t="str">
        <x:v>Legacy domain/file server have weakest posture in inventory.</x:v>
      </x:c>
      <x:c r="T32" s="20" t="str">
        <x:v>Yes</x:v>
      </x:c>
    </x:row>
    <x:row r="33">
      <x:c r="A33" s="20" t="str">
        <x:v>TV-32</x:v>
      </x:c>
      <x:c r="B33" s="20" t="str">
        <x:v>Malware / Ransomware</x:v>
      </x:c>
      <x:c r="C33" s="20" t="str">
        <x:v>Credential dumping from a compromised endpoint exposes reusable passwords or service credentials.</x:v>
      </x:c>
      <x:c r="D33" s="20" t="str">
        <x:v>External attacker</x:v>
      </x:c>
      <x:c r="E33" s="20" t="str">
        <x:v>Endpoint malware / local privilege escalation</x:v>
      </x:c>
      <x:c r="F33" s="20" t="str">
        <x:v>AST-009; AST-012; AST-018; AST-031</x:v>
      </x:c>
      <x:c r="G33" s="20" t="str">
        <x:v>Employee/admin endpoints; Legacy AD; Admin credentials</x:v>
      </x:c>
      <x:c r="H33" s="20" t="n">
        <x:v>4</x:v>
      </x:c>
      <x:c r="I33" s="20" t="str">
        <x:v>Local-admin exceptions and legacy credentials increase value of credential dumping.</x:v>
      </x:c>
      <x:c r="J33" s="20" t="n">
        <x:v>5</x:v>
      </x:c>
      <x:c r="K33" s="20" t="str">
        <x:v>EDR; MFA for cloud/admin; password vault</x:v>
      </x:c>
      <x:c r="L33" s="20" t="str">
        <x:v>Limited</x:v>
      </x:c>
      <x:c r="M33" s="20" t="n">
        <x:f>H33+J33+IF(L33="Strong",0,IF(L33="Moderate",1,IF(L33="Limited",2,IF(L33="Weak",3,0))))</x:f>
        <x:v>11</x:v>
      </x:c>
      <x:c r="N33" s="20" t="str">
        <x:f>IF(M33&gt;=12,"Critical",IF(M33&gt;=10,"High",IF(M33&gt;=7,"Medium","Low")))</x:f>
        <x:v>High</x:v>
      </x:c>
      <x:c r="O33" s="20" t="str">
        <x:v>Lateral movement and broader account compromise.</x:v>
      </x:c>
      <x:c r="P33" s="20" t="str">
        <x:v>Credential theft / lateral movement</x:v>
      </x:c>
      <x:c r="Q33" s="20" t="str">
        <x:v>Credential Access: OS Credential Dumping (T1003); Valid Accounts (T1078)</x:v>
      </x:c>
      <x:c r="R33" s="20" t="str">
        <x:v>PR.AA; PR.PS; DE.CM</x:v>
      </x:c>
      <x:c r="S33" s="20" t="str">
        <x:v>Local-admin and legacy-secret observations support scenario.</x:v>
      </x:c>
      <x:c r="T33" s="20" t="str">
        <x:v>Yes</x:v>
      </x:c>
    </x:row>
    <x:row r="34">
      <x:c r="A34" s="20" t="str">
        <x:v>TV-33</x:v>
      </x:c>
      <x:c r="B34" s="20" t="str">
        <x:v>Availability / Resilience</x:v>
      </x:c>
      <x:c r="C34" s="20" t="str">
        <x:v>Virtualization host hardware failure stops multiple legacy services because there is no clustered failover.</x:v>
      </x:c>
      <x:c r="D34" s="20" t="str">
        <x:v>Hardware failure</x:v>
      </x:c>
      <x:c r="E34" s="20" t="str">
        <x:v>Infrastructure failure</x:v>
      </x:c>
      <x:c r="F34" s="20" t="str">
        <x:v>AST-020; AST-018; AST-019</x:v>
      </x:c>
      <x:c r="G34" s="20" t="str">
        <x:v>Virtualization host; Legacy AD; File server</x:v>
      </x:c>
      <x:c r="H34" s="20" t="n">
        <x:v>4</x:v>
      </x:c>
      <x:c r="I34" s="20" t="str">
        <x:v>Single-host concentration creates a resilience gap.</x:v>
      </x:c>
      <x:c r="J34" s="20" t="n">
        <x:v>4</x:v>
      </x:c>
      <x:c r="K34" s="20" t="str">
        <x:v>Backups; replacement hardware process</x:v>
      </x:c>
      <x:c r="L34" s="20" t="str">
        <x:v>Limited</x:v>
      </x:c>
      <x:c r="M34" s="20" t="n">
        <x:f>H34+J34+IF(L34="Strong",0,IF(L34="Moderate",1,IF(L34="Limited",2,IF(L34="Weak",3,0))))</x:f>
        <x:v>10</x:v>
      </x:c>
      <x:c r="N34" s="20" t="str">
        <x:f>IF(M34&gt;=12,"Critical",IF(M34&gt;=10,"High",IF(M34&gt;=7,"Medium","Low")))</x:f>
        <x:v>High</x:v>
      </x:c>
      <x:c r="O34" s="20" t="str">
        <x:v>Legacy authentication and file services unavailable until restore/rebuild.</x:v>
      </x:c>
      <x:c r="P34" s="20" t="str">
        <x:v>Infrastructure outage</x:v>
      </x:c>
      <x:c r="Q34" s="20" t="str">
        <x:v>Non-adversarial availability scenario</x:v>
      </x:c>
      <x:c r="R34" s="20" t="str">
        <x:v>PR.IR; RC.RP</x:v>
      </x:c>
      <x:c r="S34" s="20" t="str">
        <x:v>Virtualization host explicitly notes single-host concentration.</x:v>
      </x:c>
      <x:c r="T34" s="20" t="str">
        <x:v>Yes</x:v>
      </x:c>
    </x:row>
    <x:row r="35">
      <x:c r="A35" s="20" t="str">
        <x:v>TV-34</x:v>
      </x:c>
      <x:c r="B35" s="20" t="str">
        <x:v>Availability / Resilience</x:v>
      </x:c>
      <x:c r="C35" s="20" t="str">
        <x:v>Backup restoration fails or takes longer than expected during a real incident.</x:v>
      </x:c>
      <x:c r="D35" s="20" t="str">
        <x:v>Process / technical failure</x:v>
      </x:c>
      <x:c r="E35" s="20" t="str">
        <x:v>Unproven recovery procedure</x:v>
      </x:c>
      <x:c r="F35" s="20" t="str">
        <x:v>AST-021; AST-019; AST-020</x:v>
      </x:c>
      <x:c r="G35" s="20" t="str">
        <x:v>Backup repository; File server; Virtualization</x:v>
      </x:c>
      <x:c r="H35" s="20" t="n">
        <x:v>4</x:v>
      </x:c>
      <x:c r="I35" s="20" t="str">
        <x:v>Restore tests are ad hoc and RTO/RPO have not been formally demonstrated.</x:v>
      </x:c>
      <x:c r="J35" s="20" t="n">
        <x:v>5</x:v>
      </x:c>
      <x:c r="K35" s="20" t="str">
        <x:v>Backups; alerts; cloud copy</x:v>
      </x:c>
      <x:c r="L35" s="20" t="str">
        <x:v>Limited</x:v>
      </x:c>
      <x:c r="M35" s="20" t="n">
        <x:f>H35+J35+IF(L35="Strong",0,IF(L35="Moderate",1,IF(L35="Limited",2,IF(L35="Weak",3,0))))</x:f>
        <x:v>11</x:v>
      </x:c>
      <x:c r="N35" s="20" t="str">
        <x:f>IF(M35&gt;=12,"Critical",IF(M35&gt;=10,"High",IF(M35&gt;=7,"Medium","Low")))</x:f>
        <x:v>High</x:v>
      </x:c>
      <x:c r="O35" s="20" t="str">
        <x:v>Extended outage and potential permanent data loss.</x:v>
      </x:c>
      <x:c r="P35" s="20" t="str">
        <x:v>Recovery failure</x:v>
      </x:c>
      <x:c r="Q35" s="20" t="str">
        <x:v>Non-adversarial recovery scenario</x:v>
      </x:c>
      <x:c r="R35" s="20" t="str">
        <x:v>PR.IR; RC.RP; GV.OV</x:v>
      </x:c>
      <x:c r="S35" s="20" t="str">
        <x:v>Backup inventory finding directly identifies limited restore testing.</x:v>
      </x:c>
      <x:c r="T35" s="20" t="str">
        <x:v>Yes</x:v>
      </x:c>
    </x:row>
    <x:row r="36">
      <x:c r="A36" s="20" t="str">
        <x:v>TV-35</x:v>
      </x:c>
      <x:c r="B36" s="20" t="str">
        <x:v>Availability / Resilience</x:v>
      </x:c>
      <x:c r="C36" s="20" t="str">
        <x:v>Primary Kingston ISP outage disrupts office internet, cloud access and VPN availability.</x:v>
      </x:c>
      <x:c r="D36" s="20" t="str">
        <x:v>Telecom failure</x:v>
      </x:c>
      <x:c r="E36" s="20" t="str">
        <x:v>Provider outage / fiber cut</x:v>
      </x:c>
      <x:c r="F36" s="20" t="str">
        <x:v>AST-026; AST-013; AST-001; AST-017</x:v>
      </x:c>
      <x:c r="G36" s="20" t="str">
        <x:v>Kingston ISP; Firewall; M365; VPN</x:v>
      </x:c>
      <x:c r="H36" s="20" t="n">
        <x:v>4</x:v>
      </x:c>
      <x:c r="I36" s="20" t="str">
        <x:v>Single primary circuit and limited failover bandwidth create concentration risk.</x:v>
      </x:c>
      <x:c r="J36" s="20" t="n">
        <x:v>3</x:v>
      </x:c>
      <x:c r="K36" s="20" t="str">
        <x:v>Provider support; limited failover options</x:v>
      </x:c>
      <x:c r="L36" s="20" t="str">
        <x:v>Limited</x:v>
      </x:c>
      <x:c r="M36" s="20" t="n">
        <x:f>H36+J36+IF(L36="Strong",0,IF(L36="Moderate",1,IF(L36="Limited",2,IF(L36="Weak",3,0))))</x:f>
        <x:v>9</x:v>
      </x:c>
      <x:c r="N36" s="20" t="str">
        <x:f>IF(M36&gt;=12,"Critical",IF(M36&gt;=10,"High",IF(M36&gt;=7,"Medium","Low")))</x:f>
        <x:v>Medium</x:v>
      </x:c>
      <x:c r="O36" s="20" t="str">
        <x:v>Head-office productivity loss and cloud/remote-access disruption.</x:v>
      </x:c>
      <x:c r="P36" s="20" t="str">
        <x:v>Connectivity outage</x:v>
      </x:c>
      <x:c r="Q36" s="20" t="str">
        <x:v>Non-adversarial external dependency scenario</x:v>
      </x:c>
      <x:c r="R36" s="20" t="str">
        <x:v>GV.SC; PR.IR; RC.RP</x:v>
      </x:c>
      <x:c r="S36" s="20" t="str">
        <x:v>ISP asset notes limited redundancy.</x:v>
      </x:c>
      <x:c r="T36" s="20" t="str">
        <x:v>Yes</x:v>
      </x:c>
    </x:row>
    <x:row r="37">
      <x:c r="A37" s="20" t="str">
        <x:v>TV-36</x:v>
      </x:c>
      <x:c r="B37" s="20" t="str">
        <x:v>Cloud / SaaS</x:v>
      </x:c>
      <x:c r="C37" s="20" t="str">
        <x:v>API key, recovery code or legacy secret stored outside the password vault is exposed and used for unauthorized access.</x:v>
      </x:c>
      <x:c r="D37" s="20" t="str">
        <x:v>External attacker / insider</x:v>
      </x:c>
      <x:c r="E37" s="20" t="str">
        <x:v>Secret leakage / repository or document exposure</x:v>
      </x:c>
      <x:c r="F37" s="20" t="str">
        <x:v>AST-031; AST-032; AST-001; AST-006</x:v>
      </x:c>
      <x:c r="G37" s="20" t="str">
        <x:v>Admin credentials; Password manager; Cloud applications</x:v>
      </x:c>
      <x:c r="H37" s="20" t="n">
        <x:v>4</x:v>
      </x:c>
      <x:c r="I37" s="20" t="str">
        <x:v>Some legacy credentials remain outside the central vault.</x:v>
      </x:c>
      <x:c r="J37" s="20" t="n">
        <x:v>5</x:v>
      </x:c>
      <x:c r="K37" s="20" t="str">
        <x:v>Password manager; MFA; cloud logging</x:v>
      </x:c>
      <x:c r="L37" s="20" t="str">
        <x:v>Limited</x:v>
      </x:c>
      <x:c r="M37" s="20" t="n">
        <x:f>H37+J37+IF(L37="Strong",0,IF(L37="Moderate",1,IF(L37="Limited",2,IF(L37="Weak",3,0))))</x:f>
        <x:v>11</x:v>
      </x:c>
      <x:c r="N37" s="20" t="str">
        <x:f>IF(M37&gt;=12,"Critical",IF(M37&gt;=10,"High",IF(M37&gt;=7,"Medium","Low")))</x:f>
        <x:v>High</x:v>
      </x:c>
      <x:c r="O37" s="20" t="str">
        <x:v>Privileged or application access, persistence and data theft.</x:v>
      </x:c>
      <x:c r="P37" s="20" t="str">
        <x:v>Secret compromise</x:v>
      </x:c>
      <x:c r="Q37" s="20" t="str">
        <x:v>Unsecured Credentials (T1552); Valid Accounts (T1078)</x:v>
      </x:c>
      <x:c r="R37" s="20" t="str">
        <x:v>PR.AA; PR.DS; DE.CM</x:v>
      </x:c>
      <x:c r="S37" s="20" t="str">
        <x:v>Administrative credentials asset explicitly identifies unmanaged legacy secrets.</x:v>
      </x:c>
      <x:c r="T37" s="20" t="str">
        <x:v>Yes</x:v>
      </x:c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conditionalFormatting sqref="N2:N200">
    <x:cfRule type="expression" dxfId="0" priority="1">
      <x:formula>N2="Critical"</x:formula>
    </x:cfRule>
    <x:cfRule type="expression" dxfId="1" priority="2">
      <x:formula>N2="High"</x:formula>
    </x:cfRule>
    <x:cfRule type="expression" dxfId="2" priority="3">
      <x:formula>N2="Medium"</x:formula>
    </x:cfRule>
    <x:cfRule type="expression" dxfId="3" priority="4">
      <x:formula>N2="Low"</x:formula>
    </x:cfRule>
  </x:conditionalFormatting>
  <x:conditionalFormatting sqref="L2:L200">
    <x:cfRule type="expression" dxfId="4" priority="5">
      <x:formula>L2="Strong"</x:formula>
    </x:cfRule>
    <x:cfRule type="expression" dxfId="5" priority="6">
      <x:formula>L2="Moderate"</x:formula>
    </x:cfRule>
    <x:cfRule type="expression" dxfId="6" priority="7">
      <x:formula>L2="Limited"</x:formula>
    </x:cfRule>
    <x:cfRule type="expression" dxfId="7" priority="8">
      <x:formula>L2="Weak"</x:formula>
    </x:cfRule>
  </x:conditionalFormatting>
  <x:conditionalFormatting sqref="M2:M200">
    <x:cfRule type="dataBar" priority="9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{9D365112-FDDD-A455-C72F-8EE33B666211}</x14:id>
        </x:ext>
      </x:extLst>
    </x:cfRule>
  </x:conditionalFormatting>
  <x:dataValidations count="3">
    <x:dataValidation type="list" sqref="H2:H200">
      <x:formula1>"1,2,3,4,5"</x:formula1>
    </x:dataValidation>
    <x:dataValidation type="list" sqref="J2:J200">
      <x:formula1>"1,2,3,4,5"</x:formula1>
    </x:dataValidation>
    <x:dataValidation type="list" sqref="L2:L200">
      <x:formula1>"Strong,Moderate,Limited,Weak"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4e7267ae65477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9D365112-FDDD-A455-C72F-8EE33B666211}">
            <x14:dataBar gradient="1">
              <x14:cfvo type="min"/>
              <x14:cfvo type="max"/>
              <x14:fillColor rgb="FFA02B93"/>
            </x14:dataBar>
          </x14:cfRule>
          <xm:sqref>M2:M200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47" hidden="0" customWidth="1"/>
    <x:col min="4" max="4" width="30" hidden="0" customWidth="1"/>
    <x:col min="5" max="5" width="45" hidden="0" customWidth="1"/>
    <x:col min="6" max="6" width="45" hidden="0" customWidth="1"/>
    <x:col min="7" max="7" width="42" hidden="0" customWidth="1"/>
  </x:cols>
  <x:sheetData>
    <x:row r="1" ht="40" customHeight="1">
      <x:c r="A1" s="11" t="str">
        <x:v>Threat ID</x:v>
      </x:c>
      <x:c r="B1" s="11" t="str">
        <x:v>Threat Type</x:v>
      </x:c>
      <x:c r="C1" s="11" t="str">
        <x:v>Description</x:v>
      </x:c>
      <x:c r="D1" s="11" t="str">
        <x:v>Typical Actors</x:v>
      </x:c>
      <x:c r="E1" s="11" t="str">
        <x:v>Common Entry Paths</x:v>
      </x:c>
      <x:c r="F1" s="11" t="str">
        <x:v>Relevant Project Assets</x:v>
      </x:c>
      <x:c r="G1" s="11" t="str">
        <x:v>Primary Security Objective</x:v>
      </x:c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20" t="str">
        <x:v>TC-01</x:v>
      </x:c>
      <x:c r="B2" s="20" t="str">
        <x:v>Business Email Compromise</x:v>
      </x:c>
      <x:c r="C2" s="20" t="str">
        <x:v>Fraud using compromised or impersonated business email accounts.</x:v>
      </x:c>
      <x:c r="D2" s="20" t="str">
        <x:v>Financially motivated cybercriminals</x:v>
      </x:c>
      <x:c r="E2" s="20" t="str">
        <x:v>Phishing, credential theft, reply-chain abuse</x:v>
      </x:c>
      <x:c r="F2" s="20" t="str">
        <x:v>Executive/Finance mailboxes; M365; Accounting</x:v>
      </x:c>
      <x:c r="G2" s="20" t="str">
        <x:v>Protect identity, payment integrity and communications</x:v>
      </x:c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20" t="str">
        <x:v>TC-02</x:v>
      </x:c>
      <x:c r="B3" s="20" t="str">
        <x:v>Cloud Account Takeover</x:v>
      </x:c>
      <x:c r="C3" s="20" t="str">
        <x:v>Unauthorized access to SaaS or cloud identity using stolen credentials/tokens.</x:v>
      </x:c>
      <x:c r="D3" s="20" t="str">
        <x:v>Cybercriminals</x:v>
      </x:c>
      <x:c r="E3" s="20" t="str">
        <x:v>Password spraying, phishing, token theft, OAuth abuse</x:v>
      </x:c>
      <x:c r="F3" s="20" t="str">
        <x:v>Entra ID; M365; CRM; HRIS; Accounting</x:v>
      </x:c>
      <x:c r="G3" s="20" t="str">
        <x:v>Prevent unauthorized access and detect anomalous sessions</x:v>
      </x:c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20" t="str">
        <x:v>TC-03</x:v>
      </x:c>
      <x:c r="B4" s="20" t="str">
        <x:v>Ransomware</x:v>
      </x:c>
      <x:c r="C4" s="20" t="str">
        <x:v>Malware encrypts or disrupts systems and may steal data for extortion.</x:v>
      </x:c>
      <x:c r="D4" s="20" t="str">
        <x:v>Cybercriminal groups</x:v>
      </x:c>
      <x:c r="E4" s="20" t="str">
        <x:v>Phishing, VPN compromise, exploited vulnerabilities, RMM abuse</x:v>
      </x:c>
      <x:c r="F4" s="20" t="str">
        <x:v>Endpoints; File server; Virtualization; Backups</x:v>
      </x:c>
      <x:c r="G4" s="20" t="str">
        <x:v>Limit execution/lateral movement and preserve recovery</x:v>
      </x:c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20" t="str">
        <x:v>TC-04</x:v>
      </x:c>
      <x:c r="B5" s="20" t="str">
        <x:v>Data Exfiltration</x:v>
      </x:c>
      <x:c r="C5" s="20" t="str">
        <x:v>Unauthorized extraction of customer, employee, financial or internal information.</x:v>
      </x:c>
      <x:c r="D5" s="20" t="str">
        <x:v>External attackers / insiders</x:v>
      </x:c>
      <x:c r="E5" s="20" t="str">
        <x:v>Cloud export, sharing links, endpoints, email, removable media</x:v>
      </x:c>
      <x:c r="F5" s="20" t="str">
        <x:v>SharePoint; CRM; HRIS; sensitive datasets</x:v>
      </x:c>
      <x:c r="G5" s="20" t="str">
        <x:v>Limit access/export and improve monitoring</x:v>
      </x:c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20" t="str">
        <x:v>TC-05</x:v>
      </x:c>
      <x:c r="B6" s="20" t="str">
        <x:v>Legacy Infrastructure Exploitation</x:v>
      </x:c>
      <x:c r="C6" s="20" t="str">
        <x:v>Technical debt creates exploitable paths for privilege escalation and lateral movement.</x:v>
      </x:c>
      <x:c r="D6" s="20" t="str">
        <x:v>External attackers</x:v>
      </x:c>
      <x:c r="E6" s="20" t="str">
        <x:v>Legacy protocol/service exploitation, credential dumping</x:v>
      </x:c>
      <x:c r="F6" s="20" t="str">
        <x:v>Legacy AD; File server; Virtualization</x:v>
      </x:c>
      <x:c r="G6" s="20" t="str">
        <x:v>Reduce attack surface and isolate/decommission legacy systems</x:v>
      </x:c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20" t="str">
        <x:v>TC-06</x:v>
      </x:c>
      <x:c r="B7" s="20" t="str">
        <x:v>Third-Party / Supply-Chain Compromise</x:v>
      </x:c>
      <x:c r="C7" s="20" t="str">
        <x:v>Trusted vendors or management tools become an attacker pathway.</x:v>
      </x:c>
      <x:c r="D7" s="20" t="str">
        <x:v>Supply-chain attackers</x:v>
      </x:c>
      <x:c r="E7" s="20" t="str">
        <x:v>Compromised SaaS, RMM, MSP accounts</x:v>
      </x:c>
      <x:c r="F7" s="20" t="str">
        <x:v>RMM; Managed IT provider; SaaS platforms</x:v>
      </x:c>
      <x:c r="G7" s="20" t="str">
        <x:v>Govern suppliers, restrict access and monitor trusted relationships</x:v>
      </x:c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20" t="str">
        <x:v>TC-07</x:v>
      </x:c>
      <x:c r="B8" s="20" t="str">
        <x:v>Perimeter / Remote Access Attack</x:v>
      </x:c>
      <x:c r="C8" s="20" t="str">
        <x:v>Internet-facing firewall/VPN vulnerabilities or credentials provide entry.</x:v>
      </x:c>
      <x:c r="D8" s="20" t="str">
        <x:v>External attackers</x:v>
      </x:c>
      <x:c r="E8" s="20" t="str">
        <x:v>Public exploit, brute force, stolen VPN credentials</x:v>
      </x:c>
      <x:c r="F8" s="20" t="str">
        <x:v>Firewalls; VPN</x:v>
      </x:c>
      <x:c r="G8" s="20" t="str">
        <x:v>Harden, patch and strongly authenticate remote access</x:v>
      </x:c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20" t="str">
        <x:v>TC-08</x:v>
      </x:c>
      <x:c r="B9" s="20" t="str">
        <x:v>Web / Domain Compromise</x:v>
      </x:c>
      <x:c r="C9" s="20" t="str">
        <x:v>Public web assets or registrar accounts are exploited.</x:v>
      </x:c>
      <x:c r="D9" s="20" t="str">
        <x:v>External attackers</x:v>
      </x:c>
      <x:c r="E9" s="20" t="str">
        <x:v>CMS vulnerability, admin account takeover</x:v>
      </x:c>
      <x:c r="F9" s="20" t="str">
        <x:v>Website; DNS/domain</x:v>
      </x:c>
      <x:c r="G9" s="20" t="str">
        <x:v>Protect public presence and routing ownership</x:v>
      </x:c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20" t="str">
        <x:v>TC-09</x:v>
      </x:c>
      <x:c r="B10" s="20" t="str">
        <x:v>Insider Misuse / Human Error</x:v>
      </x:c>
      <x:c r="C10" s="20" t="str">
        <x:v>Authorized users intentionally or accidentally expose, alter or disrupt information.</x:v>
      </x:c>
      <x:c r="D10" s="20" t="str">
        <x:v>Employees / contractors</x:v>
      </x:c>
      <x:c r="E10" s="20" t="str">
        <x:v>Exports, sharing, misconfiguration, privileged changes</x:v>
      </x:c>
      <x:c r="F10" s="20" t="str">
        <x:v>Cloud data; Financial/HR/Customer data; Admin systems</x:v>
      </x:c>
      <x:c r="G10" s="20" t="str">
        <x:v>Least privilege, monitoring, training and change control</x:v>
      </x:c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20" t="str">
        <x:v>TC-10</x:v>
      </x:c>
      <x:c r="B11" s="20" t="str">
        <x:v>Availability / Recovery Failure</x:v>
      </x:c>
      <x:c r="C11" s="20" t="str">
        <x:v>Infrastructure, telecom or recovery process failure interrupts business services.</x:v>
      </x:c>
      <x:c r="D11" s="20" t="str">
        <x:v>Providers / technical failure</x:v>
      </x:c>
      <x:c r="E11" s="20" t="str">
        <x:v>ISP outage, hardware failure, failed restore</x:v>
      </x:c>
      <x:c r="F11" s="20" t="str">
        <x:v>ISP; Virtualization; Backups; SaaS</x:v>
      </x:c>
      <x:c r="G11" s="20" t="str">
        <x:v>Resilience, redundancy and tested recovery</x:v>
      </x:c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pageMargins left="0.7" right="0.7" top="0.75" bottom="0.75" header="0.3" footer="0.3"/>
  <x:tableParts count="1">
    <x:tablePart xmlns:r="http://schemas.openxmlformats.org/officeDocument/2006/relationships" r:id="R1d793a2524374a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52" hidden="0" customWidth="1"/>
    <x:col min="4" max="4" width="31" hidden="0" customWidth="1"/>
    <x:col min="5" max="5" width="48" hidden="0" customWidth="1"/>
    <x:col min="6" max="6" width="46" hidden="0" customWidth="1"/>
  </x:cols>
  <x:sheetData>
    <x:row r="1" ht="40" customHeight="1">
      <x:c r="A1" s="11" t="str">
        <x:v>Theme ID</x:v>
      </x:c>
      <x:c r="B1" s="11" t="str">
        <x:v>Vulnerability Theme</x:v>
      </x:c>
      <x:c r="C1" s="11" t="str">
        <x:v>Observed Evidence in Asset Inventory</x:v>
      </x:c>
      <x:c r="D1" s="11" t="str">
        <x:v>Affected Assets</x:v>
      </x:c>
      <x:c r="E1" s="11" t="str">
        <x:v>Why It Matters</x:v>
      </x:c>
      <x:c r="F1" s="11" t="str">
        <x:v>Recommended Analysis Focus</x:v>
      </x:c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20" t="str">
        <x:v>VT-01</x:v>
      </x:c>
      <x:c r="B2" s="20" t="str">
        <x:v>Incomplete MFA / inconsistent strong authentication</x:v>
      </x:c>
      <x:c r="C2" s="20" t="str">
        <x:v>Partial user MFA, legacy VPN exemptions, local SaaS accounts</x:v>
      </x:c>
      <x:c r="D2" s="20" t="str">
        <x:v>AST-001; AST-002; AST-006; AST-017</x:v>
      </x:c>
      <x:c r="E2" s="20" t="str">
        <x:v>Creates direct paths for credential-based attacks.</x:v>
      </x:c>
      <x:c r="F2" s="20" t="str">
        <x:v>Identity hardening and access-control risks</x:v>
      </x:c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20" t="str">
        <x:v>VT-02</x:v>
      </x:c>
      <x:c r="B3" s="20" t="str">
        <x:v>Privileged-access concentration</x:v>
      </x:c>
      <x:c r="C3" s="20" t="str">
        <x:v>Small IT team, general-purpose admin workstations, stale roles, legacy secrets</x:v>
      </x:c>
      <x:c r="D3" s="20" t="str">
        <x:v>AST-002; AST-012; AST-031; AST-035</x:v>
      </x:c>
      <x:c r="E3" s="20" t="str">
        <x:v>Privileged compromise can rapidly become enterprise compromise.</x:v>
      </x:c>
      <x:c r="F3" s="20" t="str">
        <x:v>PAM/PAW, role review, vaulting, vendor admin controls</x:v>
      </x:c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20" t="str">
        <x:v>VT-03</x:v>
      </x:c>
      <x:c r="B4" s="20" t="str">
        <x:v>Legacy infrastructure / technical debt</x:v>
      </x:c>
      <x:c r="C4" s="20" t="str">
        <x:v>Legacy AD/file server, broad inherited permissions, limited monitoring</x:v>
      </x:c>
      <x:c r="D4" s="20" t="str">
        <x:v>AST-018; AST-019; AST-020</x:v>
      </x:c>
      <x:c r="E4" s="20" t="str">
        <x:v>Raises exploitability and ransomware/lateral-movement risk.</x:v>
      </x:c>
      <x:c r="F4" s="20" t="str">
        <x:v>Decommissioning, isolation, patching, permissions and recovery</x:v>
      </x:c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20" t="str">
        <x:v>VT-04</x:v>
      </x:c>
      <x:c r="B5" s="20" t="str">
        <x:v>Fragmented logging and monitoring</x:v>
      </x:c>
      <x:c r="C5" s="20" t="str">
        <x:v>M365/firewall/SaaS logs not consistently centralized</x:v>
      </x:c>
      <x:c r="D5" s="20" t="str">
        <x:v>AST-001; AST-013; AST-014; AST-034</x:v>
      </x:c>
      <x:c r="E5" s="20" t="str">
        <x:v>Reduces detection speed and incident evidence quality.</x:v>
      </x:c>
      <x:c r="F5" s="20" t="str">
        <x:v>Central log coverage, alert ownership, use cases and retention</x:v>
      </x:c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20" t="str">
        <x:v>VT-05</x:v>
      </x:c>
      <x:c r="B6" s="20" t="str">
        <x:v>Vendor / third-party assurance gaps</x:v>
      </x:c>
      <x:c r="C6" s="20" t="str">
        <x:v>RMM/MSP/SaaS security assurance and contract controls not consistently reviewed</x:v>
      </x:c>
      <x:c r="D6" s="20" t="str">
        <x:v>AST-005; AST-006; AST-007; AST-022; AST-035</x:v>
      </x:c>
      <x:c r="E6" s="20" t="str">
        <x:v>Trusted third parties can create high-impact attack paths.</x:v>
      </x:c>
      <x:c r="F6" s="20" t="str">
        <x:v>Supplier review, access control, evidence and exit planning</x:v>
      </x:c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20" t="str">
        <x:v>VT-06</x:v>
      </x:c>
      <x:c r="B7" s="20" t="str">
        <x:v>Cloud data-sharing / export governance</x:v>
      </x:c>
      <x:c r="C7" s="20" t="str">
        <x:v>External sharing and broad exports not tightly governed</x:v>
      </x:c>
      <x:c r="D7" s="20" t="str">
        <x:v>AST-006; AST-008; AST-028; AST-029</x:v>
      </x:c>
      <x:c r="E7" s="20" t="str">
        <x:v>Makes intentional or accidental exfiltration easier.</x:v>
      </x:c>
      <x:c r="F7" s="20" t="str">
        <x:v>DLP, export restrictions, sharing policies and audit alerts</x:v>
      </x:c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20" t="str">
        <x:v>VT-07</x:v>
      </x:c>
      <x:c r="B8" s="20" t="str">
        <x:v>Backup resilience not fully proven</x:v>
      </x:c>
      <x:c r="C8" s="20" t="str">
        <x:v>Immutability not confirmed; restore testing is ad hoc</x:v>
      </x:c>
      <x:c r="D8" s="20" t="str">
        <x:v>AST-021</x:v>
      </x:c>
      <x:c r="E8" s="20" t="str">
        <x:v>Ransomware recovery depends on trustworthy backups.</x:v>
      </x:c>
      <x:c r="F8" s="20" t="str">
        <x:v>Immutability, separate identity, restore testing and recovery metrics</x:v>
      </x:c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20" t="str">
        <x:v>VT-08</x:v>
      </x:c>
      <x:c r="B9" s="20" t="str">
        <x:v>Perimeter configuration and lifecycle inconsistency</x:v>
      </x:c>
      <x:c r="C9" s="20" t="str">
        <x:v>Firewall firmware/rule review and branch baseline need improvement</x:v>
      </x:c>
      <x:c r="D9" s="20" t="str">
        <x:v>AST-013; AST-014; AST-017</x:v>
      </x:c>
      <x:c r="E9" s="20" t="str">
        <x:v>Internet-facing weaknesses can become initial access paths.</x:v>
      </x:c>
      <x:c r="F9" s="20" t="str">
        <x:v>Patch SLA, MFA, rule review and configuration baselines</x:v>
      </x:c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20" t="str">
        <x:v>VT-09</x:v>
      </x:c>
      <x:c r="B10" s="20" t="str">
        <x:v>Endpoint control inconsistency</x:v>
      </x:c>
      <x:c r="C10" s="20" t="str">
        <x:v>Mixed patch cadence, local admin exceptions, encryption validation gaps</x:v>
      </x:c>
      <x:c r="D10" s="20" t="str">
        <x:v>AST-009; AST-010; AST-011; AST-012</x:v>
      </x:c>
      <x:c r="E10" s="20" t="str">
        <x:v>Large endpoint population increases attack surface.</x:v>
      </x:c>
      <x:c r="F10" s="20" t="str">
        <x:v>Patch/EDR coverage, encryption, admin restrictions and hardening</x:v>
      </x:c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20" t="str">
        <x:v>VT-10</x:v>
      </x:c>
      <x:c r="B11" s="20" t="str">
        <x:v>Resilience concentration</x:v>
      </x:c>
      <x:c r="C11" s="20" t="str">
        <x:v>Single virtualization host and limited primary ISP redundancy</x:v>
      </x:c>
      <x:c r="D11" s="20" t="str">
        <x:v>AST-020; AST-026</x:v>
      </x:c>
      <x:c r="E11" s="20" t="str">
        <x:v>Single points of failure can create material outages.</x:v>
      </x:c>
      <x:c r="F11" s="20" t="str">
        <x:v>Redundancy, recovery testing, alternate connectivity</x:v>
      </x:c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pageMargins left="0.7" right="0.7" top="0.75" bottom="0.75" header="0.3" footer="0.3"/>
  <x:tableParts count="1">
    <x:tablePart xmlns:r="http://schemas.openxmlformats.org/officeDocument/2006/relationships" r:id="R366a9dc3277847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7" hidden="0" customWidth="1"/>
    <x:col min="4" max="4" width="63" hidden="0" customWidth="1"/>
    <x:col min="5" max="5" width="33" hidden="0" customWidth="1"/>
    <x:col min="6" max="6" width="57" hidden="0" customWidth="1"/>
    <x:col min="7" max="7" width="24" hidden="0" customWidth="1"/>
  </x:cols>
  <x:sheetData>
    <x:row r="1" ht="40" customHeight="1">
      <x:c r="A1" s="11" t="str">
        <x:v>Path ID</x:v>
      </x:c>
      <x:c r="B1" s="11" t="str">
        <x:v>Attack Path</x:v>
      </x:c>
      <x:c r="C1" s="11" t="str">
        <x:v>Entry Point</x:v>
      </x:c>
      <x:c r="D1" s="11" t="str">
        <x:v>Key Steps</x:v>
      </x:c>
      <x:c r="E1" s="11" t="str">
        <x:v>Crown-Jewel Target</x:v>
      </x:c>
      <x:c r="F1" s="11" t="str">
        <x:v>Control Breakpoints</x:v>
      </x:c>
      <x:c r="G1" s="11" t="str">
        <x:v>Related Scenarios</x:v>
      </x:c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20" t="str">
        <x:v>AP-01</x:v>
      </x:c>
      <x:c r="B2" s="20" t="str">
        <x:v>Phishing → M365 account → finance fraud</x:v>
      </x:c>
      <x:c r="C2" s="20" t="str">
        <x:v>Finance mailbox</x:v>
      </x:c>
      <x:c r="D2" s="20" t="str">
        <x:v>1) Credential phishing  2) Account takeover  3) Inbox monitoring  4) Payment-change impersonation</x:v>
      </x:c>
      <x:c r="E2" s="20" t="str">
        <x:v>Financial records / Accounting</x:v>
      </x:c>
      <x:c r="F2" s="20" t="str">
        <x:v>MFA coverage; anti-impersonation; payment verification; anomalous sign-in detection</x:v>
      </x:c>
      <x:c r="G2" s="20" t="str">
        <x:v>TV-01; TV-03</x:v>
      </x:c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20" t="str">
        <x:v>AP-02</x:v>
      </x:c>
      <x:c r="B3" s="20" t="str">
        <x:v>Phishing → endpoint → credential theft → ransomware</x:v>
      </x:c>
      <x:c r="C3" s="20" t="str">
        <x:v>Employee laptop</x:v>
      </x:c>
      <x:c r="D3" s="20" t="str">
        <x:v>1) User executes payload  2) Credential theft  3) Lateral movement  4) Legacy server access  5) Backup interference  6) Encryption</x:v>
      </x:c>
      <x:c r="E3" s="20" t="str">
        <x:v>Backups / Legacy file services</x:v>
      </x:c>
      <x:c r="F3" s="20" t="str">
        <x:v>EDR; local-admin control; legacy hardening; network segmentation; immutable backups</x:v>
      </x:c>
      <x:c r="G3" s="20" t="str">
        <x:v>TV-07; TV-08; TV-09; TV-31; TV-32</x:v>
      </x:c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20" t="str">
        <x:v>AP-03</x:v>
      </x:c>
      <x:c r="B4" s="20" t="str">
        <x:v>VPN credential → legacy network → domain compromise</x:v>
      </x:c>
      <x:c r="C4" s="20" t="str">
        <x:v>Remote access VPN</x:v>
      </x:c>
      <x:c r="D4" s="20" t="str">
        <x:v>1) Stolen legacy VPN password  2) Remote entry  3) Discover AD/file services  4) Credential dumping  5) Privilege escalation</x:v>
      </x:c>
      <x:c r="E4" s="20" t="str">
        <x:v>Legacy AD / Admin credentials</x:v>
      </x:c>
      <x:c r="F4" s="20" t="str">
        <x:v>MFA; inactive-account review; segmentation; legacy reduction; EDR</x:v>
      </x:c>
      <x:c r="G4" s="20" t="str">
        <x:v>TV-20; TV-31; TV-32</x:v>
      </x:c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20" t="str">
        <x:v>AP-04</x:v>
      </x:c>
      <x:c r="B5" s="20" t="str">
        <x:v>RMM/MSP compromise → mass endpoint administration</x:v>
      </x:c>
      <x:c r="C5" s="20" t="str">
        <x:v>Trusted third party</x:v>
      </x:c>
      <x:c r="D5" s="20" t="str">
        <x:v>1) Vendor/admin compromise  2) RMM access  3) Script/command deployment  4) Endpoint takeover</x:v>
      </x:c>
      <x:c r="E5" s="20" t="str">
        <x:v>Endpoint fleet / Admin credentials</x:v>
      </x:c>
      <x:c r="F5" s="20" t="str">
        <x:v>Vendor MFA; least privilege; vendor assurance; admin logs; EDR behavioral detections</x:v>
      </x:c>
      <x:c r="G5" s="20" t="str">
        <x:v>TV-22; TV-23</x:v>
      </x:c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20" t="str">
        <x:v>AP-05</x:v>
      </x:c>
      <x:c r="B6" s="20" t="str">
        <x:v>Cloud sharing/export abuse → data exfiltration</x:v>
      </x:c>
      <x:c r="C6" s="20" t="str">
        <x:v>SharePoint / CRM</x:v>
      </x:c>
      <x:c r="D6" s="20" t="str">
        <x:v>1) Valid account  2) Bulk export or anonymous link  3) Copy to unmanaged location</x:v>
      </x:c>
      <x:c r="E6" s="20" t="str">
        <x:v>Customer master dataset</x:v>
      </x:c>
      <x:c r="F6" s="20" t="str">
        <x:v>Least privilege; DLP; sharing restrictions; export alerts; access review</x:v>
      </x:c>
      <x:c r="G6" s="20" t="str">
        <x:v>TV-13; TV-14; TV-28</x:v>
      </x:c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20" t="str">
        <x:v>AP-06</x:v>
      </x:c>
      <x:c r="B7" s="20" t="str">
        <x:v>Firewall exploit → internal foothold → admin credential theft</x:v>
      </x:c>
      <x:c r="C7" s="20" t="str">
        <x:v>Internet-facing firewall</x:v>
      </x:c>
      <x:c r="D7" s="20" t="str">
        <x:v>1) Public exploit  2) Device/network foothold  3) Credential access  4) Lateral movement</x:v>
      </x:c>
      <x:c r="E7" s="20" t="str">
        <x:v>Identity / Admin credentials</x:v>
      </x:c>
      <x:c r="F7" s="20" t="str">
        <x:v>Firmware SLA; exposure management; MFA; network segmentation; centralized logs</x:v>
      </x:c>
      <x:c r="G7" s="20" t="str">
        <x:v>TV-18; TV-19; TV-32</x:v>
      </x:c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20" t="str">
        <x:v>AP-07</x:v>
      </x:c>
      <x:c r="B8" s="20" t="str">
        <x:v>Domain registrar takeover → email/web redirection</x:v>
      </x:c>
      <x:c r="C8" s="20" t="str">
        <x:v>Registrar account</x:v>
      </x:c>
      <x:c r="D8" s="20" t="str">
        <x:v>1) Credential compromise  2) Change DNS/MX  3) Redirect users/mail  4) Harvest credentials or disrupt service</x:v>
      </x:c>
      <x:c r="E8" s="20" t="str">
        <x:v>M365 / Public website</x:v>
      </x:c>
      <x:c r="F8" s="20" t="str">
        <x:v>Registrar MFA; recovery contacts; change alerts; DNS monitoring</x:v>
      </x:c>
      <x:c r="G8" s="20" t="str">
        <x:v>TV-26</x:v>
      </x:c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93"/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pageMargins left="0.7" right="0.7" top="0.75" bottom="0.75" header="0.3" footer="0.3"/>
  <x:tableParts count="1">
    <x:tablePart xmlns:r="http://schemas.openxmlformats.org/officeDocument/2006/relationships" r:id="Re3f89f821a1543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7" hidden="0" customWidth="1"/>
    <x:col min="4" max="4" width="4" hidden="0" customWidth="1"/>
    <x:col min="5" max="5" width="20" hidden="0" customWidth="1"/>
    <x:col min="6" max="6" width="20" hidden="0" customWidth="1"/>
    <x:col min="7" max="7" width="47" hidden="0" customWidth="1"/>
  </x:cols>
  <x:sheetData>
    <x:row r="1">
      <x:c r="A1" s="38" t="str">
        <x:v>Threat &amp; Vulnerability Assessment Methodology</x:v>
      </x:c>
      <x:c r="B1" s="38"/>
      <x:c r="C1" s="38"/>
      <x:c r="D1" s="38"/>
      <x:c r="E1" s="38"/>
      <x:c r="F1" s="38"/>
      <x:c r="G1" s="38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38"/>
      <x:c r="B2" s="38"/>
      <x:c r="C2" s="38"/>
      <x:c r="D2" s="38"/>
      <x:c r="E2" s="38"/>
      <x:c r="F2" s="38"/>
      <x:c r="G2" s="38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93"/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99" t="str">
        <x:v>Threat Relevance</x:v>
      </x:c>
      <x:c r="B4" s="99" t="str">
        <x:v>Rating</x:v>
      </x:c>
      <x:c r="C4" s="99" t="str">
        <x:v>Guidance</x:v>
      </x:c>
      <x:c r="D4" s="93"/>
      <x:c r="E4" s="99" t="str">
        <x:v>Vulnerability Severity</x:v>
      </x:c>
      <x:c r="F4" s="99" t="str">
        <x:v>Rating</x:v>
      </x:c>
      <x:c r="G4" s="99" t="str">
        <x:v>Guidance</x:v>
      </x:c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116" t="n">
        <x:v>1</x:v>
      </x:c>
      <x:c r="B5" s="116" t="str">
        <x:v>Very Low</x:v>
      </x:c>
      <x:c r="C5" s="116" t="str">
        <x:v>Unlikely to target this environment or requires unusual conditions.</x:v>
      </x:c>
      <x:c r="D5" s="116"/>
      <x:c r="E5" s="116" t="n">
        <x:v>1</x:v>
      </x:c>
      <x:c r="F5" s="116" t="str">
        <x:v>Minor</x:v>
      </x:c>
      <x:c r="G5" s="116" t="str">
        <x:v>Small weakness with strong compensating controls.</x:v>
      </x:c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116" t="n">
        <x:v>2</x:v>
      </x:c>
      <x:c r="B6" s="116" t="str">
        <x:v>Low</x:v>
      </x:c>
      <x:c r="C6" s="116" t="str">
        <x:v>Possible but limited exposure or low actor interest.</x:v>
      </x:c>
      <x:c r="D6" s="116"/>
      <x:c r="E6" s="116" t="n">
        <x:v>2</x:v>
      </x:c>
      <x:c r="F6" s="116" t="str">
        <x:v>Low</x:v>
      </x:c>
      <x:c r="G6" s="116" t="str">
        <x:v>Limited weakness or narrow exploitation conditions.</x:v>
      </x:c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116" t="n">
        <x:v>3</x:v>
      </x:c>
      <x:c r="B7" s="116" t="str">
        <x:v>Moderate</x:v>
      </x:c>
      <x:c r="C7" s="116" t="str">
        <x:v>Realistic scenario with meaningful opportunity.</x:v>
      </x:c>
      <x:c r="D7" s="116"/>
      <x:c r="E7" s="116" t="n">
        <x:v>3</x:v>
      </x:c>
      <x:c r="F7" s="116" t="str">
        <x:v>Moderate</x:v>
      </x:c>
      <x:c r="G7" s="116" t="str">
        <x:v>Meaningful control gap that could contribute to compromise.</x:v>
      </x:c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116" t="n">
        <x:v>4</x:v>
      </x:c>
      <x:c r="B8" s="116" t="str">
        <x:v>High</x:v>
      </x:c>
      <x:c r="C8" s="116" t="str">
        <x:v>Common threat or asset is attractive/exposed.</x:v>
      </x:c>
      <x:c r="D8" s="116"/>
      <x:c r="E8" s="116" t="n">
        <x:v>4</x:v>
      </x:c>
      <x:c r="F8" s="116" t="str">
        <x:v>High</x:v>
      </x:c>
      <x:c r="G8" s="116" t="str">
        <x:v>Serious weakness that materially increases exploitability or impact.</x:v>
      </x:c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116" t="n">
        <x:v>5</x:v>
      </x:c>
      <x:c r="B9" s="116" t="str">
        <x:v>Very High</x:v>
      </x:c>
      <x:c r="C9" s="116" t="str">
        <x:v>Frequent attack pattern, crown-jewel target or direct internet/identity exposure.</x:v>
      </x:c>
      <x:c r="D9" s="116"/>
      <x:c r="E9" s="116" t="n">
        <x:v>5</x:v>
      </x:c>
      <x:c r="F9" s="116" t="str">
        <x:v>Severe</x:v>
      </x:c>
      <x:c r="G9" s="116" t="str">
        <x:v>Major or systemic weakness enabling broad compromise or recovery failure.</x:v>
      </x:c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117" t="str">
        <x:v>Exposure / Scenario Priority Logic</x:v>
      </x:c>
      <x:c r="B12" s="117"/>
      <x:c r="C12" s="117"/>
      <x:c r="D12" s="117"/>
      <x:c r="E12" s="117"/>
      <x:c r="F12" s="117"/>
      <x:c r="G12" s="117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118" t="str">
        <x:v>Exposure Score = Threat Relevance + Vulnerability Severity + Control Coverage Modifier.
Control modifier: Strong = 0 | Moderate = 1 | Limited = 2 | Weak = 3.
Scenario Priority: Critical ≥ 12 | High 10–11 | Medium 7–9 | Low &lt; 7.
This is not the final enterprise risk score. It is a screening mechanism used to prioritize which threat/vulnerability scenarios should enter the formal Risk Register. The next project artifact will separately score likelihood and business impact, document existing controls, calculate inherent/residual risk, assign owners and create treatment plans.</x:v>
      </x:c>
      <x:c r="B13" s="118"/>
      <x:c r="C13" s="118"/>
      <x:c r="D13" s="118"/>
      <x:c r="E13" s="118"/>
      <x:c r="F13" s="118"/>
      <x:c r="G13" s="118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118"/>
      <x:c r="B14" s="118"/>
      <x:c r="C14" s="118"/>
      <x:c r="D14" s="118"/>
      <x:c r="E14" s="118"/>
      <x:c r="F14" s="118"/>
      <x:c r="G14" s="118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118"/>
      <x:c r="B15" s="118"/>
      <x:c r="C15" s="118"/>
      <x:c r="D15" s="118"/>
      <x:c r="E15" s="118"/>
      <x:c r="F15" s="118"/>
      <x:c r="G15" s="118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118"/>
      <x:c r="B16" s="118"/>
      <x:c r="C16" s="118"/>
      <x:c r="D16" s="118"/>
      <x:c r="E16" s="118"/>
      <x:c r="F16" s="118"/>
      <x:c r="G16" s="118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118"/>
      <x:c r="B17" s="118"/>
      <x:c r="C17" s="118"/>
      <x:c r="D17" s="118"/>
      <x:c r="E17" s="118"/>
      <x:c r="F17" s="118"/>
      <x:c r="G17" s="118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118"/>
      <x:c r="B18" s="118"/>
      <x:c r="C18" s="118"/>
      <x:c r="D18" s="118"/>
      <x:c r="E18" s="118"/>
      <x:c r="F18" s="118"/>
      <x:c r="G18" s="118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118"/>
      <x:c r="B19" s="118"/>
      <x:c r="C19" s="118"/>
      <x:c r="D19" s="118"/>
      <x:c r="E19" s="118"/>
      <x:c r="F19" s="118"/>
      <x:c r="G19" s="118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118"/>
      <x:c r="B20" s="118"/>
      <x:c r="C20" s="118"/>
      <x:c r="D20" s="118"/>
      <x:c r="E20" s="118"/>
      <x:c r="F20" s="118"/>
      <x:c r="G20" s="118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117" t="str">
        <x:v>Assessment Assumptions</x:v>
      </x:c>
      <x:c r="B23" s="117"/>
      <x:c r="C23" s="117"/>
      <x:c r="D23" s="117"/>
      <x:c r="E23" s="117"/>
      <x:c r="F23" s="117"/>
      <x:c r="G23" s="117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118" t="str">
        <x:v>• All threat scenarios and vulnerabilities are fictional and derived from the Project 2 asset inventory.
• MITRE ATT&amp;CK references are used as descriptive attack-pattern mappings, not as proof that any technique has occurred.
• NIST CSF 2.0 references identify relevant cybersecurity outcomes for later control mapping.
• Threat relevance and vulnerability severity are analyst judgments for the simulated environment and are intentionally revisitable.
• Non-adversarial availability scenarios are included because enterprise cyber-risk management must address resilience as well as malicious attacks.</x:v>
      </x:c>
      <x:c r="B24" s="118"/>
      <x:c r="C24" s="118"/>
      <x:c r="D24" s="118"/>
      <x:c r="E24" s="118"/>
      <x:c r="F24" s="118"/>
      <x:c r="G24" s="118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118"/>
      <x:c r="B25" s="118"/>
      <x:c r="C25" s="118"/>
      <x:c r="D25" s="118"/>
      <x:c r="E25" s="118"/>
      <x:c r="F25" s="118"/>
      <x:c r="G25" s="118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118"/>
      <x:c r="B26" s="118"/>
      <x:c r="C26" s="118"/>
      <x:c r="D26" s="118"/>
      <x:c r="E26" s="118"/>
      <x:c r="F26" s="118"/>
      <x:c r="G26" s="118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118"/>
      <x:c r="B27" s="118"/>
      <x:c r="C27" s="118"/>
      <x:c r="D27" s="118"/>
      <x:c r="E27" s="118"/>
      <x:c r="F27" s="118"/>
      <x:c r="G27" s="118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118"/>
      <x:c r="B28" s="118"/>
      <x:c r="C28" s="118"/>
      <x:c r="D28" s="118"/>
      <x:c r="E28" s="118"/>
      <x:c r="F28" s="118"/>
      <x:c r="G28" s="118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118"/>
      <x:c r="B29" s="118"/>
      <x:c r="C29" s="118"/>
      <x:c r="D29" s="118"/>
      <x:c r="E29" s="118"/>
      <x:c r="F29" s="118"/>
      <x:c r="G29" s="118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118"/>
      <x:c r="B30" s="118"/>
      <x:c r="C30" s="118"/>
      <x:c r="D30" s="118"/>
      <x:c r="E30" s="118"/>
      <x:c r="F30" s="118"/>
      <x:c r="G30" s="118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mergeCells>
    <x:mergeCell ref="A1:G2"/>
    <x:mergeCell ref="A12:G12"/>
    <x:mergeCell ref="A13:G20"/>
    <x:mergeCell ref="A23:G23"/>
    <x:mergeCell ref="A24:G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4" hidden="0" customWidth="1"/>
    <x:col min="3" max="3" width="60" hidden="0" customWidth="1"/>
    <x:col min="4" max="4" width="31" hidden="0" customWidth="1"/>
  </x:cols>
  <x:sheetData>
    <x:row r="1">
      <x:c r="A1" s="128" t="str">
        <x:v>Source</x:v>
      </x:c>
      <x:c r="B1" s="128" t="str">
        <x:v>Use</x:v>
      </x:c>
      <x:c r="C1" s="128" t="str">
        <x:v>URL</x:v>
      </x:c>
      <x:c r="D1" s="128" t="str">
        <x:v>Status</x:v>
      </x:c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</x:row>
    <x:row r="2">
      <x:c r="A2" s="20" t="str">
        <x:v>NIST Cybersecurity Framework 2.0</x:v>
      </x:c>
      <x:c r="B2" s="20" t="str">
        <x:v>Primary cybersecurity governance and control-outcome reference for later risk/control mapping.</x:v>
      </x:c>
      <x:c r="C2" s="20" t="str">
        <x:v>https://www.nist.gov/cyberframework</x:v>
      </x:c>
      <x:c r="D2" s="20" t="str">
        <x:v>Current final framework</x:v>
      </x:c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</x:row>
    <x:row r="3">
      <x:c r="A3" s="20" t="str">
        <x:v>MITRE ATT&amp;CK Enterprise</x:v>
      </x:c>
      <x:c r="B3" s="20" t="str">
        <x:v>Descriptive mapping of adversary tactics and techniques used in threat scenarios.</x:v>
      </x:c>
      <x:c r="C3" s="20" t="str">
        <x:v>https://attack.mitre.org/</x:v>
      </x:c>
      <x:c r="D3" s="20" t="str">
        <x:v>Current knowledge base; technique mappings are illustrative</x:v>
      </x:c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</x:row>
    <x:row r="4">
      <x:c r="A4" s="20" t="str">
        <x:v>NIST SP 800-30 Rev. 1 — Guide for Conducting Risk Assessments</x:v>
      </x:c>
      <x:c r="B4" s="20" t="str">
        <x:v>Supporting risk-assessment concepts for threat sources, vulnerabilities, likelihood and impact.</x:v>
      </x:c>
      <x:c r="C4" s="20" t="str">
        <x:v>https://csrc.nist.gov/pubs/sp/800/30/r1/final</x:v>
      </x:c>
      <x:c r="D4" s="20" t="str">
        <x:v>Final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</x:row>
    <x:row r="5">
      <x:c r="A5" s="20" t="str">
        <x:v>ISO/IEC 27001:2022</x:v>
      </x:c>
      <x:c r="B5" s="20" t="str">
        <x:v>Supporting information-security control framework for later crosswalk.</x:v>
      </x:c>
      <x:c r="C5" s="20" t="str">
        <x:v>https://www.iso.org/standard/27001</x:v>
      </x:c>
      <x:c r="D5" s="20" t="str">
        <x:v>2022 edition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</x:row>
    <x:row r="6">
      <x:c r="A6" s="93"/>
      <x:c r="B6" s="93"/>
      <x:c r="C6" s="93"/>
      <x:c r="D6" s="93"/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</x:row>
    <x:row r="7">
      <x:c r="A7" s="93"/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</x:row>
    <x:row r="8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</x:row>
    <x:row r="9">
      <x:c r="A9" s="93"/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</x:row>
    <x:row r="101">
      <x:c r="A101" s="93"/>
      <x:c r="B101" s="93"/>
      <x:c r="C101" s="93"/>
      <x:c r="D101" s="93"/>
      <x:c r="E101" s="93"/>
      <x:c r="F101" s="93"/>
      <x:c r="G101" s="93"/>
      <x:c r="H101" s="93"/>
      <x:c r="I101" s="93"/>
      <x:c r="J101" s="93"/>
      <x:c r="K101" s="93"/>
      <x:c r="L101" s="93"/>
      <x:c r="M101" s="93"/>
      <x:c r="N101" s="93"/>
      <x:c r="O101" s="93"/>
      <x:c r="P101" s="93"/>
      <x:c r="Q101" s="93"/>
      <x:c r="R101" s="93"/>
      <x:c r="S101" s="93"/>
      <x:c r="T101" s="93"/>
    </x:row>
    <x:row r="102">
      <x:c r="A102" s="93"/>
      <x:c r="B102" s="93"/>
      <x:c r="C102" s="93"/>
      <x:c r="D102" s="93"/>
      <x:c r="E102" s="93"/>
      <x:c r="F102" s="93"/>
      <x:c r="G102" s="93"/>
      <x:c r="H102" s="93"/>
      <x:c r="I102" s="93"/>
      <x:c r="J102" s="93"/>
      <x:c r="K102" s="93"/>
      <x:c r="L102" s="93"/>
      <x:c r="M102" s="93"/>
      <x:c r="N102" s="93"/>
      <x:c r="O102" s="93"/>
      <x:c r="P102" s="93"/>
      <x:c r="Q102" s="93"/>
      <x:c r="R102" s="93"/>
      <x:c r="S102" s="93"/>
      <x:c r="T102" s="93"/>
    </x:row>
    <x:row r="103">
      <x:c r="A103" s="93"/>
      <x:c r="B103" s="93"/>
      <x:c r="C103" s="93"/>
      <x:c r="D103" s="93"/>
      <x:c r="E103" s="93"/>
      <x:c r="F103" s="93"/>
      <x:c r="G103" s="93"/>
      <x:c r="H103" s="93"/>
      <x:c r="I103" s="93"/>
      <x:c r="J103" s="93"/>
      <x:c r="K103" s="93"/>
      <x:c r="L103" s="93"/>
      <x:c r="M103" s="93"/>
      <x:c r="N103" s="93"/>
      <x:c r="O103" s="93"/>
      <x:c r="P103" s="93"/>
      <x:c r="Q103" s="93"/>
      <x:c r="R103" s="93"/>
      <x:c r="S103" s="93"/>
      <x:c r="T103" s="93"/>
    </x:row>
    <x:row r="104">
      <x:c r="A104" s="93"/>
      <x:c r="B104" s="93"/>
      <x:c r="C104" s="93"/>
      <x:c r="D104" s="93"/>
      <x:c r="E104" s="93"/>
      <x:c r="F104" s="93"/>
      <x:c r="G104" s="93"/>
      <x:c r="H104" s="93"/>
      <x:c r="I104" s="93"/>
      <x:c r="J104" s="93"/>
      <x:c r="K104" s="93"/>
      <x:c r="L104" s="93"/>
      <x:c r="M104" s="93"/>
      <x:c r="N104" s="93"/>
      <x:c r="O104" s="93"/>
      <x:c r="P104" s="93"/>
      <x:c r="Q104" s="93"/>
      <x:c r="R104" s="93"/>
      <x:c r="S104" s="93"/>
      <x:c r="T104" s="93"/>
    </x:row>
    <x:row r="105">
      <x:c r="A105" s="93"/>
      <x:c r="B105" s="93"/>
      <x:c r="C105" s="93"/>
      <x:c r="D105" s="93"/>
      <x:c r="E105" s="93"/>
      <x:c r="F105" s="93"/>
      <x:c r="G105" s="93"/>
      <x:c r="H105" s="93"/>
      <x:c r="I105" s="93"/>
      <x:c r="J105" s="93"/>
      <x:c r="K105" s="93"/>
      <x:c r="L105" s="93"/>
      <x:c r="M105" s="93"/>
      <x:c r="N105" s="93"/>
      <x:c r="O105" s="93"/>
      <x:c r="P105" s="93"/>
      <x:c r="Q105" s="93"/>
      <x:c r="R105" s="93"/>
      <x:c r="S105" s="93"/>
      <x:c r="T105" s="93"/>
    </x:row>
    <x:row r="106">
      <x:c r="A106" s="93"/>
      <x:c r="B106" s="93"/>
      <x:c r="C106" s="93"/>
      <x:c r="D106" s="93"/>
      <x:c r="E106" s="93"/>
      <x:c r="F106" s="93"/>
      <x:c r="G106" s="93"/>
      <x:c r="H106" s="93"/>
      <x:c r="I106" s="93"/>
      <x:c r="J106" s="93"/>
      <x:c r="K106" s="93"/>
      <x:c r="L106" s="93"/>
      <x:c r="M106" s="93"/>
      <x:c r="N106" s="93"/>
      <x:c r="O106" s="93"/>
      <x:c r="P106" s="93"/>
      <x:c r="Q106" s="93"/>
      <x:c r="R106" s="93"/>
      <x:c r="S106" s="93"/>
      <x:c r="T106" s="93"/>
    </x:row>
    <x:row r="107">
      <x:c r="A107" s="93"/>
      <x:c r="B107" s="93"/>
      <x:c r="C107" s="93"/>
      <x:c r="D107" s="93"/>
      <x:c r="E107" s="93"/>
      <x:c r="F107" s="93"/>
      <x:c r="G107" s="93"/>
      <x:c r="H107" s="93"/>
      <x:c r="I107" s="93"/>
      <x:c r="J107" s="93"/>
      <x:c r="K107" s="93"/>
      <x:c r="L107" s="93"/>
      <x:c r="M107" s="93"/>
      <x:c r="N107" s="93"/>
      <x:c r="O107" s="93"/>
      <x:c r="P107" s="93"/>
      <x:c r="Q107" s="93"/>
      <x:c r="R107" s="93"/>
      <x:c r="S107" s="93"/>
      <x:c r="T107" s="93"/>
    </x:row>
    <x:row r="108">
      <x:c r="A108" s="93"/>
      <x:c r="B108" s="93"/>
      <x:c r="C108" s="93"/>
      <x:c r="D108" s="93"/>
      <x:c r="E108" s="93"/>
      <x:c r="F108" s="93"/>
      <x:c r="G108" s="93"/>
      <x:c r="H108" s="93"/>
      <x:c r="I108" s="93"/>
      <x:c r="J108" s="93"/>
      <x:c r="K108" s="93"/>
      <x:c r="L108" s="93"/>
      <x:c r="M108" s="93"/>
      <x:c r="N108" s="93"/>
      <x:c r="O108" s="93"/>
      <x:c r="P108" s="93"/>
      <x:c r="Q108" s="93"/>
      <x:c r="R108" s="93"/>
      <x:c r="S108" s="93"/>
      <x:c r="T108" s="93"/>
    </x:row>
    <x:row r="109">
      <x:c r="A109" s="93"/>
      <x:c r="B109" s="93"/>
      <x:c r="C109" s="93"/>
      <x:c r="D109" s="93"/>
      <x:c r="E109" s="93"/>
      <x:c r="F109" s="93"/>
      <x:c r="G109" s="93"/>
      <x:c r="H109" s="93"/>
      <x:c r="I109" s="93"/>
      <x:c r="J109" s="93"/>
      <x:c r="K109" s="93"/>
      <x:c r="L109" s="93"/>
      <x:c r="M109" s="93"/>
      <x:c r="N109" s="93"/>
      <x:c r="O109" s="93"/>
      <x:c r="P109" s="93"/>
      <x:c r="Q109" s="93"/>
      <x:c r="R109" s="93"/>
      <x:c r="S109" s="93"/>
      <x:c r="T109" s="93"/>
    </x:row>
    <x:row r="110">
      <x:c r="A110" s="93"/>
      <x:c r="B110" s="93"/>
      <x:c r="C110" s="93"/>
      <x:c r="D110" s="93"/>
      <x:c r="E110" s="93"/>
      <x:c r="F110" s="93"/>
      <x:c r="G110" s="93"/>
      <x:c r="H110" s="93"/>
      <x:c r="I110" s="93"/>
      <x:c r="J110" s="93"/>
      <x:c r="K110" s="93"/>
      <x:c r="L110" s="93"/>
      <x:c r="M110" s="93"/>
      <x:c r="N110" s="93"/>
      <x:c r="O110" s="93"/>
      <x:c r="P110" s="93"/>
      <x:c r="Q110" s="93"/>
      <x:c r="R110" s="93"/>
      <x:c r="S110" s="93"/>
      <x:c r="T110" s="93"/>
    </x:row>
    <x:row r="111">
      <x:c r="A111" s="93"/>
      <x:c r="B111" s="93"/>
      <x:c r="C111" s="93"/>
      <x:c r="D111" s="93"/>
      <x:c r="E111" s="93"/>
      <x:c r="F111" s="93"/>
      <x:c r="G111" s="93"/>
      <x:c r="H111" s="93"/>
      <x:c r="I111" s="93"/>
      <x:c r="J111" s="93"/>
      <x:c r="K111" s="93"/>
      <x:c r="L111" s="93"/>
      <x:c r="M111" s="93"/>
      <x:c r="N111" s="93"/>
      <x:c r="O111" s="93"/>
      <x:c r="P111" s="93"/>
      <x:c r="Q111" s="93"/>
      <x:c r="R111" s="93"/>
      <x:c r="S111" s="93"/>
      <x:c r="T111" s="93"/>
    </x:row>
    <x:row r="112">
      <x:c r="A112" s="93"/>
      <x:c r="B112" s="93"/>
      <x:c r="C112" s="93"/>
      <x:c r="D112" s="93"/>
      <x:c r="E112" s="93"/>
      <x:c r="F112" s="93"/>
      <x:c r="G112" s="93"/>
      <x:c r="H112" s="93"/>
      <x:c r="I112" s="93"/>
      <x:c r="J112" s="93"/>
      <x:c r="K112" s="93"/>
      <x:c r="L112" s="93"/>
      <x:c r="M112" s="93"/>
      <x:c r="N112" s="93"/>
      <x:c r="O112" s="93"/>
      <x:c r="P112" s="93"/>
      <x:c r="Q112" s="93"/>
      <x:c r="R112" s="93"/>
      <x:c r="S112" s="93"/>
      <x:c r="T112" s="93"/>
    </x:row>
    <x:row r="113">
      <x:c r="A113" s="93"/>
      <x:c r="B113" s="93"/>
      <x:c r="C113" s="93"/>
      <x:c r="D113" s="93"/>
      <x:c r="E113" s="93"/>
      <x:c r="F113" s="93"/>
      <x:c r="G113" s="93"/>
      <x:c r="H113" s="93"/>
      <x:c r="I113" s="93"/>
      <x:c r="J113" s="93"/>
      <x:c r="K113" s="93"/>
      <x:c r="L113" s="93"/>
      <x:c r="M113" s="93"/>
      <x:c r="N113" s="93"/>
      <x:c r="O113" s="93"/>
      <x:c r="P113" s="93"/>
      <x:c r="Q113" s="93"/>
      <x:c r="R113" s="93"/>
      <x:c r="S113" s="93"/>
      <x:c r="T113" s="93"/>
    </x:row>
    <x:row r="114">
      <x:c r="A114" s="93"/>
      <x:c r="B114" s="93"/>
      <x:c r="C114" s="93"/>
      <x:c r="D114" s="93"/>
      <x:c r="E114" s="93"/>
      <x:c r="F114" s="93"/>
      <x:c r="G114" s="93"/>
      <x:c r="H114" s="93"/>
      <x:c r="I114" s="93"/>
      <x:c r="J114" s="93"/>
      <x:c r="K114" s="93"/>
      <x:c r="L114" s="93"/>
      <x:c r="M114" s="93"/>
      <x:c r="N114" s="93"/>
      <x:c r="O114" s="93"/>
      <x:c r="P114" s="93"/>
      <x:c r="Q114" s="93"/>
      <x:c r="R114" s="93"/>
      <x:c r="S114" s="93"/>
      <x:c r="T114" s="93"/>
    </x:row>
    <x:row r="115">
      <x:c r="A115" s="93"/>
      <x:c r="B115" s="93"/>
      <x:c r="C115" s="93"/>
      <x:c r="D115" s="93"/>
      <x:c r="E115" s="93"/>
      <x:c r="F115" s="93"/>
      <x:c r="G115" s="93"/>
      <x:c r="H115" s="93"/>
      <x:c r="I115" s="93"/>
      <x:c r="J115" s="93"/>
      <x:c r="K115" s="93"/>
      <x:c r="L115" s="93"/>
      <x:c r="M115" s="93"/>
      <x:c r="N115" s="93"/>
      <x:c r="O115" s="93"/>
      <x:c r="P115" s="93"/>
      <x:c r="Q115" s="93"/>
      <x:c r="R115" s="93"/>
      <x:c r="S115" s="93"/>
      <x:c r="T115" s="93"/>
    </x:row>
    <x:row r="116">
      <x:c r="A116" s="93"/>
      <x:c r="B116" s="93"/>
      <x:c r="C116" s="93"/>
      <x:c r="D116" s="93"/>
      <x:c r="E116" s="93"/>
      <x:c r="F116" s="93"/>
      <x:c r="G116" s="93"/>
      <x:c r="H116" s="93"/>
      <x:c r="I116" s="93"/>
      <x:c r="J116" s="93"/>
      <x:c r="K116" s="93"/>
      <x:c r="L116" s="93"/>
      <x:c r="M116" s="93"/>
      <x:c r="N116" s="93"/>
      <x:c r="O116" s="93"/>
      <x:c r="P116" s="93"/>
      <x:c r="Q116" s="93"/>
      <x:c r="R116" s="93"/>
      <x:c r="S116" s="93"/>
      <x:c r="T116" s="93"/>
    </x:row>
    <x:row r="117">
      <x:c r="A117" s="93"/>
      <x:c r="B117" s="93"/>
      <x:c r="C117" s="93"/>
      <x:c r="D117" s="93"/>
      <x:c r="E117" s="93"/>
      <x:c r="F117" s="93"/>
      <x:c r="G117" s="93"/>
      <x:c r="H117" s="93"/>
      <x:c r="I117" s="93"/>
      <x:c r="J117" s="93"/>
      <x:c r="K117" s="93"/>
      <x:c r="L117" s="93"/>
      <x:c r="M117" s="93"/>
      <x:c r="N117" s="93"/>
      <x:c r="O117" s="93"/>
      <x:c r="P117" s="93"/>
      <x:c r="Q117" s="93"/>
      <x:c r="R117" s="93"/>
      <x:c r="S117" s="93"/>
      <x:c r="T117" s="93"/>
    </x:row>
    <x:row r="118">
      <x:c r="A118" s="93"/>
      <x:c r="B118" s="93"/>
      <x:c r="C118" s="93"/>
      <x:c r="D118" s="93"/>
      <x:c r="E118" s="93"/>
      <x:c r="F118" s="93"/>
      <x:c r="G118" s="93"/>
      <x:c r="H118" s="93"/>
      <x:c r="I118" s="93"/>
      <x:c r="J118" s="93"/>
      <x:c r="K118" s="93"/>
      <x:c r="L118" s="93"/>
      <x:c r="M118" s="93"/>
      <x:c r="N118" s="93"/>
      <x:c r="O118" s="93"/>
      <x:c r="P118" s="93"/>
      <x:c r="Q118" s="93"/>
      <x:c r="R118" s="93"/>
      <x:c r="S118" s="93"/>
      <x:c r="T118" s="93"/>
    </x:row>
    <x:row r="119">
      <x:c r="A119" s="93"/>
      <x:c r="B119" s="93"/>
      <x:c r="C119" s="93"/>
      <x:c r="D119" s="93"/>
      <x:c r="E119" s="93"/>
      <x:c r="F119" s="93"/>
      <x:c r="G119" s="93"/>
      <x:c r="H119" s="93"/>
      <x:c r="I119" s="93"/>
      <x:c r="J119" s="93"/>
      <x:c r="K119" s="93"/>
      <x:c r="L119" s="93"/>
      <x:c r="M119" s="93"/>
      <x:c r="N119" s="93"/>
      <x:c r="O119" s="93"/>
      <x:c r="P119" s="93"/>
      <x:c r="Q119" s="93"/>
      <x:c r="R119" s="93"/>
      <x:c r="S119" s="93"/>
      <x:c r="T119" s="93"/>
    </x:row>
    <x:row r="120">
      <x:c r="A120" s="93"/>
      <x:c r="B120" s="93"/>
      <x:c r="C120" s="93"/>
      <x:c r="D120" s="93"/>
      <x:c r="E120" s="93"/>
      <x:c r="F120" s="93"/>
      <x:c r="G120" s="93"/>
      <x:c r="H120" s="93"/>
      <x:c r="I120" s="93"/>
      <x:c r="J120" s="93"/>
      <x:c r="K120" s="93"/>
      <x:c r="L120" s="93"/>
      <x:c r="M120" s="93"/>
      <x:c r="N120" s="93"/>
      <x:c r="O120" s="93"/>
      <x:c r="P120" s="93"/>
      <x:c r="Q120" s="93"/>
      <x:c r="R120" s="93"/>
      <x:c r="S120" s="93"/>
      <x:c r="T120" s="93"/>
    </x:row>
    <x:row r="121">
      <x:c r="A121" s="93"/>
      <x:c r="B121" s="93"/>
      <x:c r="C121" s="93"/>
      <x:c r="D121" s="93"/>
      <x:c r="E121" s="93"/>
      <x:c r="F121" s="93"/>
      <x:c r="G121" s="93"/>
      <x:c r="H121" s="93"/>
      <x:c r="I121" s="93"/>
      <x:c r="J121" s="93"/>
      <x:c r="K121" s="93"/>
      <x:c r="L121" s="93"/>
      <x:c r="M121" s="93"/>
      <x:c r="N121" s="93"/>
      <x:c r="O121" s="93"/>
      <x:c r="P121" s="93"/>
      <x:c r="Q121" s="93"/>
      <x:c r="R121" s="93"/>
      <x:c r="S121" s="93"/>
      <x:c r="T121" s="93"/>
    </x:row>
    <x:row r="122">
      <x:c r="A122" s="93"/>
      <x:c r="B122" s="93"/>
      <x:c r="C122" s="93"/>
      <x:c r="D122" s="93"/>
      <x:c r="E122" s="93"/>
      <x:c r="F122" s="93"/>
      <x:c r="G122" s="93"/>
      <x:c r="H122" s="93"/>
      <x:c r="I122" s="93"/>
      <x:c r="J122" s="93"/>
      <x:c r="K122" s="93"/>
      <x:c r="L122" s="93"/>
      <x:c r="M122" s="93"/>
      <x:c r="N122" s="93"/>
      <x:c r="O122" s="93"/>
      <x:c r="P122" s="93"/>
      <x:c r="Q122" s="93"/>
      <x:c r="R122" s="93"/>
      <x:c r="S122" s="93"/>
      <x:c r="T122" s="93"/>
    </x:row>
    <x:row r="123">
      <x:c r="A123" s="93"/>
      <x:c r="B123" s="93"/>
      <x:c r="C123" s="93"/>
      <x:c r="D123" s="93"/>
      <x:c r="E123" s="93"/>
      <x:c r="F123" s="93"/>
      <x:c r="G123" s="93"/>
      <x:c r="H123" s="93"/>
      <x:c r="I123" s="93"/>
      <x:c r="J123" s="93"/>
      <x:c r="K123" s="93"/>
      <x:c r="L123" s="93"/>
      <x:c r="M123" s="93"/>
      <x:c r="N123" s="93"/>
      <x:c r="O123" s="93"/>
      <x:c r="P123" s="93"/>
      <x:c r="Q123" s="93"/>
      <x:c r="R123" s="93"/>
      <x:c r="S123" s="93"/>
      <x:c r="T123" s="93"/>
    </x:row>
    <x:row r="124">
      <x:c r="A124" s="93"/>
      <x:c r="B124" s="93"/>
      <x:c r="C124" s="93"/>
      <x:c r="D124" s="93"/>
      <x:c r="E124" s="93"/>
      <x:c r="F124" s="93"/>
      <x:c r="G124" s="93"/>
      <x:c r="H124" s="93"/>
      <x:c r="I124" s="93"/>
      <x:c r="J124" s="93"/>
      <x:c r="K124" s="93"/>
      <x:c r="L124" s="93"/>
      <x:c r="M124" s="93"/>
      <x:c r="N124" s="93"/>
      <x:c r="O124" s="93"/>
      <x:c r="P124" s="93"/>
      <x:c r="Q124" s="93"/>
      <x:c r="R124" s="93"/>
      <x:c r="S124" s="93"/>
      <x:c r="T124" s="93"/>
    </x:row>
    <x:row r="125">
      <x:c r="A125" s="93"/>
      <x:c r="B125" s="93"/>
      <x:c r="C125" s="93"/>
      <x:c r="D125" s="93"/>
      <x:c r="E125" s="93"/>
      <x:c r="F125" s="93"/>
      <x:c r="G125" s="93"/>
      <x:c r="H125" s="93"/>
      <x:c r="I125" s="93"/>
      <x:c r="J125" s="93"/>
      <x:c r="K125" s="93"/>
      <x:c r="L125" s="93"/>
      <x:c r="M125" s="93"/>
      <x:c r="N125" s="93"/>
      <x:c r="O125" s="93"/>
      <x:c r="P125" s="93"/>
      <x:c r="Q125" s="93"/>
      <x:c r="R125" s="93"/>
      <x:c r="S125" s="93"/>
      <x:c r="T125" s="93"/>
    </x:row>
    <x:row r="126">
      <x:c r="A126" s="93"/>
      <x:c r="B126" s="93"/>
      <x:c r="C126" s="93"/>
      <x:c r="D126" s="93"/>
      <x:c r="E126" s="93"/>
      <x:c r="F126" s="93"/>
      <x:c r="G126" s="93"/>
      <x:c r="H126" s="93"/>
      <x:c r="I126" s="93"/>
      <x:c r="J126" s="93"/>
      <x:c r="K126" s="93"/>
      <x:c r="L126" s="93"/>
      <x:c r="M126" s="93"/>
      <x:c r="N126" s="93"/>
      <x:c r="O126" s="93"/>
      <x:c r="P126" s="93"/>
      <x:c r="Q126" s="93"/>
      <x:c r="R126" s="93"/>
      <x:c r="S126" s="93"/>
      <x:c r="T126" s="93"/>
    </x:row>
    <x:row r="127">
      <x:c r="A127" s="93"/>
      <x:c r="B127" s="93"/>
      <x:c r="C127" s="93"/>
      <x:c r="D127" s="93"/>
      <x:c r="E127" s="93"/>
      <x:c r="F127" s="93"/>
      <x:c r="G127" s="93"/>
      <x:c r="H127" s="93"/>
      <x:c r="I127" s="93"/>
      <x:c r="J127" s="93"/>
      <x:c r="K127" s="93"/>
      <x:c r="L127" s="93"/>
      <x:c r="M127" s="93"/>
      <x:c r="N127" s="93"/>
      <x:c r="O127" s="93"/>
      <x:c r="P127" s="93"/>
      <x:c r="Q127" s="93"/>
      <x:c r="R127" s="93"/>
      <x:c r="S127" s="93"/>
      <x:c r="T127" s="93"/>
    </x:row>
    <x:row r="128">
      <x:c r="A128" s="93"/>
      <x:c r="B128" s="93"/>
      <x:c r="C128" s="93"/>
      <x:c r="D128" s="93"/>
      <x:c r="E128" s="93"/>
      <x:c r="F128" s="93"/>
      <x:c r="G128" s="93"/>
      <x:c r="H128" s="93"/>
      <x:c r="I128" s="93"/>
      <x:c r="J128" s="93"/>
      <x:c r="K128" s="93"/>
      <x:c r="L128" s="93"/>
      <x:c r="M128" s="93"/>
      <x:c r="N128" s="93"/>
      <x:c r="O128" s="93"/>
      <x:c r="P128" s="93"/>
      <x:c r="Q128" s="93"/>
      <x:c r="R128" s="93"/>
      <x:c r="S128" s="93"/>
      <x:c r="T128" s="93"/>
    </x:row>
    <x:row r="129">
      <x:c r="A129" s="93"/>
      <x:c r="B129" s="93"/>
      <x:c r="C129" s="93"/>
      <x:c r="D129" s="93"/>
      <x:c r="E129" s="93"/>
      <x:c r="F129" s="93"/>
      <x:c r="G129" s="93"/>
      <x:c r="H129" s="93"/>
      <x:c r="I129" s="93"/>
      <x:c r="J129" s="93"/>
      <x:c r="K129" s="93"/>
      <x:c r="L129" s="93"/>
      <x:c r="M129" s="93"/>
      <x:c r="N129" s="93"/>
      <x:c r="O129" s="93"/>
      <x:c r="P129" s="93"/>
      <x:c r="Q129" s="93"/>
      <x:c r="R129" s="93"/>
      <x:c r="S129" s="93"/>
      <x:c r="T129" s="93"/>
    </x:row>
    <x:row r="130">
      <x:c r="A130" s="93"/>
      <x:c r="B130" s="93"/>
      <x:c r="C130" s="93"/>
      <x:c r="D130" s="93"/>
      <x:c r="E130" s="93"/>
      <x:c r="F130" s="93"/>
      <x:c r="G130" s="93"/>
      <x:c r="H130" s="93"/>
      <x:c r="I130" s="93"/>
      <x:c r="J130" s="93"/>
      <x:c r="K130" s="93"/>
      <x:c r="L130" s="93"/>
      <x:c r="M130" s="93"/>
      <x:c r="N130" s="93"/>
      <x:c r="O130" s="93"/>
      <x:c r="P130" s="93"/>
      <x:c r="Q130" s="93"/>
      <x:c r="R130" s="93"/>
      <x:c r="S130" s="93"/>
      <x:c r="T130" s="93"/>
    </x:row>
    <x:row r="131">
      <x:c r="A131" s="93"/>
      <x:c r="B131" s="93"/>
      <x:c r="C131" s="93"/>
      <x:c r="D131" s="93"/>
      <x:c r="E131" s="93"/>
      <x:c r="F131" s="93"/>
      <x:c r="G131" s="93"/>
      <x:c r="H131" s="93"/>
      <x:c r="I131" s="93"/>
      <x:c r="J131" s="93"/>
      <x:c r="K131" s="93"/>
      <x:c r="L131" s="93"/>
      <x:c r="M131" s="93"/>
      <x:c r="N131" s="93"/>
      <x:c r="O131" s="93"/>
      <x:c r="P131" s="93"/>
      <x:c r="Q131" s="93"/>
      <x:c r="R131" s="93"/>
      <x:c r="S131" s="93"/>
      <x:c r="T131" s="93"/>
    </x:row>
    <x:row r="132">
      <x:c r="A132" s="93"/>
      <x:c r="B132" s="93"/>
      <x:c r="C132" s="93"/>
      <x:c r="D132" s="93"/>
      <x:c r="E132" s="93"/>
      <x:c r="F132" s="93"/>
      <x:c r="G132" s="93"/>
      <x:c r="H132" s="93"/>
      <x:c r="I132" s="93"/>
      <x:c r="J132" s="93"/>
      <x:c r="K132" s="93"/>
      <x:c r="L132" s="93"/>
      <x:c r="M132" s="93"/>
      <x:c r="N132" s="93"/>
      <x:c r="O132" s="93"/>
      <x:c r="P132" s="93"/>
      <x:c r="Q132" s="93"/>
      <x:c r="R132" s="93"/>
      <x:c r="S132" s="93"/>
      <x:c r="T132" s="93"/>
    </x:row>
    <x:row r="133">
      <x:c r="A133" s="93"/>
      <x:c r="B133" s="93"/>
      <x:c r="C133" s="93"/>
      <x:c r="D133" s="93"/>
      <x:c r="E133" s="93"/>
      <x:c r="F133" s="93"/>
      <x:c r="G133" s="93"/>
      <x:c r="H133" s="93"/>
      <x:c r="I133" s="93"/>
      <x:c r="J133" s="93"/>
      <x:c r="K133" s="93"/>
      <x:c r="L133" s="93"/>
      <x:c r="M133" s="93"/>
      <x:c r="N133" s="93"/>
      <x:c r="O133" s="93"/>
      <x:c r="P133" s="93"/>
      <x:c r="Q133" s="93"/>
      <x:c r="R133" s="93"/>
      <x:c r="S133" s="93"/>
      <x:c r="T133" s="93"/>
    </x:row>
    <x:row r="134">
      <x:c r="A134" s="93"/>
      <x:c r="B134" s="93"/>
      <x:c r="C134" s="93"/>
      <x:c r="D134" s="93"/>
      <x:c r="E134" s="93"/>
      <x:c r="F134" s="93"/>
      <x:c r="G134" s="93"/>
      <x:c r="H134" s="93"/>
      <x:c r="I134" s="93"/>
      <x:c r="J134" s="93"/>
      <x:c r="K134" s="93"/>
      <x:c r="L134" s="93"/>
      <x:c r="M134" s="93"/>
      <x:c r="N134" s="93"/>
      <x:c r="O134" s="93"/>
      <x:c r="P134" s="93"/>
      <x:c r="Q134" s="93"/>
      <x:c r="R134" s="93"/>
      <x:c r="S134" s="93"/>
      <x:c r="T134" s="93"/>
    </x:row>
    <x:row r="135">
      <x:c r="A135" s="93"/>
      <x:c r="B135" s="93"/>
      <x:c r="C135" s="93"/>
      <x:c r="D135" s="93"/>
      <x:c r="E135" s="93"/>
      <x:c r="F135" s="93"/>
      <x:c r="G135" s="93"/>
      <x:c r="H135" s="93"/>
      <x:c r="I135" s="93"/>
      <x:c r="J135" s="93"/>
      <x:c r="K135" s="93"/>
      <x:c r="L135" s="93"/>
      <x:c r="M135" s="93"/>
      <x:c r="N135" s="93"/>
      <x:c r="O135" s="93"/>
      <x:c r="P135" s="93"/>
      <x:c r="Q135" s="93"/>
      <x:c r="R135" s="93"/>
      <x:c r="S135" s="93"/>
      <x:c r="T135" s="93"/>
    </x:row>
    <x:row r="136">
      <x:c r="A136" s="93"/>
      <x:c r="B136" s="93"/>
      <x:c r="C136" s="93"/>
      <x:c r="D136" s="93"/>
      <x:c r="E136" s="93"/>
      <x:c r="F136" s="93"/>
      <x:c r="G136" s="93"/>
      <x:c r="H136" s="93"/>
      <x:c r="I136" s="93"/>
      <x:c r="J136" s="93"/>
      <x:c r="K136" s="93"/>
      <x:c r="L136" s="93"/>
      <x:c r="M136" s="93"/>
      <x:c r="N136" s="93"/>
      <x:c r="O136" s="93"/>
      <x:c r="P136" s="93"/>
      <x:c r="Q136" s="93"/>
      <x:c r="R136" s="93"/>
      <x:c r="S136" s="93"/>
      <x:c r="T136" s="93"/>
    </x:row>
    <x:row r="137">
      <x:c r="A137" s="93"/>
      <x:c r="B137" s="93"/>
      <x:c r="C137" s="93"/>
      <x:c r="D137" s="93"/>
      <x:c r="E137" s="93"/>
      <x:c r="F137" s="93"/>
      <x:c r="G137" s="93"/>
      <x:c r="H137" s="93"/>
      <x:c r="I137" s="93"/>
      <x:c r="J137" s="93"/>
      <x:c r="K137" s="93"/>
      <x:c r="L137" s="93"/>
      <x:c r="M137" s="93"/>
      <x:c r="N137" s="93"/>
      <x:c r="O137" s="93"/>
      <x:c r="P137" s="93"/>
      <x:c r="Q137" s="93"/>
      <x:c r="R137" s="93"/>
      <x:c r="S137" s="93"/>
      <x:c r="T137" s="93"/>
    </x:row>
    <x:row r="138">
      <x:c r="A138" s="93"/>
      <x:c r="B138" s="93"/>
      <x:c r="C138" s="93"/>
      <x:c r="D138" s="93"/>
      <x:c r="E138" s="93"/>
      <x:c r="F138" s="93"/>
      <x:c r="G138" s="93"/>
      <x:c r="H138" s="93"/>
      <x:c r="I138" s="93"/>
      <x:c r="J138" s="93"/>
      <x:c r="K138" s="93"/>
      <x:c r="L138" s="93"/>
      <x:c r="M138" s="93"/>
      <x:c r="N138" s="93"/>
      <x:c r="O138" s="93"/>
      <x:c r="P138" s="93"/>
      <x:c r="Q138" s="93"/>
      <x:c r="R138" s="93"/>
      <x:c r="S138" s="93"/>
      <x:c r="T138" s="93"/>
    </x:row>
    <x:row r="139">
      <x:c r="A139" s="93"/>
      <x:c r="B139" s="93"/>
      <x:c r="C139" s="93"/>
      <x:c r="D139" s="93"/>
      <x:c r="E139" s="93"/>
      <x:c r="F139" s="93"/>
      <x:c r="G139" s="93"/>
      <x:c r="H139" s="93"/>
      <x:c r="I139" s="93"/>
      <x:c r="J139" s="93"/>
      <x:c r="K139" s="93"/>
      <x:c r="L139" s="93"/>
      <x:c r="M139" s="93"/>
      <x:c r="N139" s="93"/>
      <x:c r="O139" s="93"/>
      <x:c r="P139" s="93"/>
      <x:c r="Q139" s="93"/>
      <x:c r="R139" s="93"/>
      <x:c r="S139" s="93"/>
      <x:c r="T139" s="93"/>
    </x:row>
    <x:row r="140">
      <x:c r="A140" s="93"/>
      <x:c r="B140" s="93"/>
      <x:c r="C140" s="93"/>
      <x:c r="D140" s="93"/>
      <x:c r="E140" s="93"/>
      <x:c r="F140" s="93"/>
      <x:c r="G140" s="93"/>
      <x:c r="H140" s="93"/>
      <x:c r="I140" s="93"/>
      <x:c r="J140" s="93"/>
      <x:c r="K140" s="93"/>
      <x:c r="L140" s="93"/>
      <x:c r="M140" s="93"/>
      <x:c r="N140" s="93"/>
      <x:c r="O140" s="93"/>
      <x:c r="P140" s="93"/>
      <x:c r="Q140" s="93"/>
      <x:c r="R140" s="93"/>
      <x:c r="S140" s="93"/>
      <x:c r="T140" s="93"/>
    </x:row>
    <x:row r="141">
      <x:c r="A141" s="93"/>
      <x:c r="B141" s="93"/>
      <x:c r="C141" s="93"/>
      <x:c r="D141" s="93"/>
      <x:c r="E141" s="93"/>
      <x:c r="F141" s="93"/>
      <x:c r="G141" s="93"/>
      <x:c r="H141" s="93"/>
      <x:c r="I141" s="93"/>
      <x:c r="J141" s="93"/>
      <x:c r="K141" s="93"/>
      <x:c r="L141" s="93"/>
      <x:c r="M141" s="93"/>
      <x:c r="N141" s="93"/>
      <x:c r="O141" s="93"/>
      <x:c r="P141" s="93"/>
      <x:c r="Q141" s="93"/>
      <x:c r="R141" s="93"/>
      <x:c r="S141" s="93"/>
      <x:c r="T141" s="93"/>
    </x:row>
    <x:row r="142">
      <x:c r="A142" s="93"/>
      <x:c r="B142" s="93"/>
      <x:c r="C142" s="93"/>
      <x:c r="D142" s="93"/>
      <x:c r="E142" s="93"/>
      <x:c r="F142" s="93"/>
      <x:c r="G142" s="93"/>
      <x:c r="H142" s="93"/>
      <x:c r="I142" s="93"/>
      <x:c r="J142" s="93"/>
      <x:c r="K142" s="93"/>
      <x:c r="L142" s="93"/>
      <x:c r="M142" s="93"/>
      <x:c r="N142" s="93"/>
      <x:c r="O142" s="93"/>
      <x:c r="P142" s="93"/>
      <x:c r="Q142" s="93"/>
      <x:c r="R142" s="93"/>
      <x:c r="S142" s="93"/>
      <x:c r="T142" s="93"/>
    </x:row>
    <x:row r="143">
      <x:c r="A143" s="93"/>
      <x:c r="B143" s="93"/>
      <x:c r="C143" s="93"/>
      <x:c r="D143" s="93"/>
      <x:c r="E143" s="93"/>
      <x:c r="F143" s="93"/>
      <x:c r="G143" s="93"/>
      <x:c r="H143" s="93"/>
      <x:c r="I143" s="93"/>
      <x:c r="J143" s="93"/>
      <x:c r="K143" s="93"/>
      <x:c r="L143" s="93"/>
      <x:c r="M143" s="93"/>
      <x:c r="N143" s="93"/>
      <x:c r="O143" s="93"/>
      <x:c r="P143" s="93"/>
      <x:c r="Q143" s="93"/>
      <x:c r="R143" s="93"/>
      <x:c r="S143" s="93"/>
      <x:c r="T143" s="93"/>
    </x:row>
    <x:row r="144">
      <x:c r="A144" s="93"/>
      <x:c r="B144" s="93"/>
      <x:c r="C144" s="93"/>
      <x:c r="D144" s="93"/>
      <x:c r="E144" s="93"/>
      <x:c r="F144" s="93"/>
      <x:c r="G144" s="93"/>
      <x:c r="H144" s="93"/>
      <x:c r="I144" s="93"/>
      <x:c r="J144" s="93"/>
      <x:c r="K144" s="93"/>
      <x:c r="L144" s="93"/>
      <x:c r="M144" s="93"/>
      <x:c r="N144" s="93"/>
      <x:c r="O144" s="93"/>
      <x:c r="P144" s="93"/>
      <x:c r="Q144" s="93"/>
      <x:c r="R144" s="93"/>
      <x:c r="S144" s="93"/>
      <x:c r="T144" s="93"/>
    </x:row>
    <x:row r="145">
      <x:c r="A145" s="93"/>
      <x:c r="B145" s="93"/>
      <x:c r="C145" s="93"/>
      <x:c r="D145" s="93"/>
      <x:c r="E145" s="93"/>
      <x:c r="F145" s="93"/>
      <x:c r="G145" s="93"/>
      <x:c r="H145" s="93"/>
      <x:c r="I145" s="93"/>
      <x:c r="J145" s="93"/>
      <x:c r="K145" s="93"/>
      <x:c r="L145" s="93"/>
      <x:c r="M145" s="93"/>
      <x:c r="N145" s="93"/>
      <x:c r="O145" s="93"/>
      <x:c r="P145" s="93"/>
      <x:c r="Q145" s="93"/>
      <x:c r="R145" s="93"/>
      <x:c r="S145" s="93"/>
      <x:c r="T145" s="93"/>
    </x:row>
    <x:row r="146">
      <x:c r="A146" s="93"/>
      <x:c r="B146" s="93"/>
      <x:c r="C146" s="93"/>
      <x:c r="D146" s="93"/>
      <x:c r="E146" s="93"/>
      <x:c r="F146" s="93"/>
      <x:c r="G146" s="93"/>
      <x:c r="H146" s="93"/>
      <x:c r="I146" s="93"/>
      <x:c r="J146" s="93"/>
      <x:c r="K146" s="93"/>
      <x:c r="L146" s="93"/>
      <x:c r="M146" s="93"/>
      <x:c r="N146" s="93"/>
      <x:c r="O146" s="93"/>
      <x:c r="P146" s="93"/>
      <x:c r="Q146" s="93"/>
      <x:c r="R146" s="93"/>
      <x:c r="S146" s="93"/>
      <x:c r="T146" s="93"/>
    </x:row>
    <x:row r="147">
      <x:c r="A147" s="93"/>
      <x:c r="B147" s="93"/>
      <x:c r="C147" s="93"/>
      <x:c r="D147" s="93"/>
      <x:c r="E147" s="93"/>
      <x:c r="F147" s="93"/>
      <x:c r="G147" s="93"/>
      <x:c r="H147" s="93"/>
      <x:c r="I147" s="93"/>
      <x:c r="J147" s="93"/>
      <x:c r="K147" s="93"/>
      <x:c r="L147" s="93"/>
      <x:c r="M147" s="93"/>
      <x:c r="N147" s="93"/>
      <x:c r="O147" s="93"/>
      <x:c r="P147" s="93"/>
      <x:c r="Q147" s="93"/>
      <x:c r="R147" s="93"/>
      <x:c r="S147" s="93"/>
      <x:c r="T147" s="93"/>
    </x:row>
    <x:row r="148">
      <x:c r="A148" s="93"/>
      <x:c r="B148" s="93"/>
      <x:c r="C148" s="93"/>
      <x:c r="D148" s="93"/>
      <x:c r="E148" s="93"/>
      <x:c r="F148" s="93"/>
      <x:c r="G148" s="93"/>
      <x:c r="H148" s="93"/>
      <x:c r="I148" s="93"/>
      <x:c r="J148" s="93"/>
      <x:c r="K148" s="93"/>
      <x:c r="L148" s="93"/>
      <x:c r="M148" s="93"/>
      <x:c r="N148" s="93"/>
      <x:c r="O148" s="93"/>
      <x:c r="P148" s="93"/>
      <x:c r="Q148" s="93"/>
      <x:c r="R148" s="93"/>
      <x:c r="S148" s="93"/>
      <x:c r="T148" s="93"/>
    </x:row>
    <x:row r="149">
      <x:c r="A149" s="93"/>
      <x:c r="B149" s="93"/>
      <x:c r="C149" s="93"/>
      <x:c r="D149" s="93"/>
      <x:c r="E149" s="93"/>
      <x:c r="F149" s="93"/>
      <x:c r="G149" s="93"/>
      <x:c r="H149" s="93"/>
      <x:c r="I149" s="93"/>
      <x:c r="J149" s="93"/>
      <x:c r="K149" s="93"/>
      <x:c r="L149" s="93"/>
      <x:c r="M149" s="93"/>
      <x:c r="N149" s="93"/>
      <x:c r="O149" s="93"/>
      <x:c r="P149" s="93"/>
      <x:c r="Q149" s="93"/>
      <x:c r="R149" s="93"/>
      <x:c r="S149" s="93"/>
      <x:c r="T149" s="93"/>
    </x:row>
    <x:row r="150">
      <x:c r="A150" s="93"/>
      <x:c r="B150" s="93"/>
      <x:c r="C150" s="93"/>
      <x:c r="D150" s="93"/>
      <x:c r="E150" s="93"/>
      <x:c r="F150" s="93"/>
      <x:c r="G150" s="93"/>
      <x:c r="H150" s="93"/>
      <x:c r="I150" s="93"/>
      <x:c r="J150" s="93"/>
      <x:c r="K150" s="93"/>
      <x:c r="L150" s="93"/>
      <x:c r="M150" s="93"/>
      <x:c r="N150" s="93"/>
      <x:c r="O150" s="93"/>
      <x:c r="P150" s="93"/>
      <x:c r="Q150" s="93"/>
      <x:c r="R150" s="93"/>
      <x:c r="S150" s="93"/>
      <x:c r="T150" s="93"/>
    </x:row>
    <x:row r="151">
      <x:c r="A151" s="93"/>
      <x:c r="B151" s="93"/>
      <x:c r="C151" s="93"/>
      <x:c r="D151" s="93"/>
      <x:c r="E151" s="93"/>
      <x:c r="F151" s="93"/>
      <x:c r="G151" s="93"/>
      <x:c r="H151" s="93"/>
      <x:c r="I151" s="93"/>
      <x:c r="J151" s="93"/>
      <x:c r="K151" s="93"/>
      <x:c r="L151" s="93"/>
      <x:c r="M151" s="93"/>
      <x:c r="N151" s="93"/>
      <x:c r="O151" s="93"/>
      <x:c r="P151" s="93"/>
      <x:c r="Q151" s="93"/>
      <x:c r="R151" s="93"/>
      <x:c r="S151" s="93"/>
      <x:c r="T151" s="93"/>
    </x:row>
    <x:row r="152">
      <x:c r="A152" s="93"/>
      <x:c r="B152" s="93"/>
      <x:c r="C152" s="93"/>
      <x:c r="D152" s="93"/>
      <x:c r="E152" s="93"/>
      <x:c r="F152" s="93"/>
      <x:c r="G152" s="93"/>
      <x:c r="H152" s="93"/>
      <x:c r="I152" s="93"/>
      <x:c r="J152" s="93"/>
      <x:c r="K152" s="93"/>
      <x:c r="L152" s="93"/>
      <x:c r="M152" s="93"/>
      <x:c r="N152" s="93"/>
      <x:c r="O152" s="93"/>
      <x:c r="P152" s="93"/>
      <x:c r="Q152" s="93"/>
      <x:c r="R152" s="93"/>
      <x:c r="S152" s="93"/>
      <x:c r="T152" s="93"/>
    </x:row>
    <x:row r="153">
      <x:c r="A153" s="93"/>
      <x:c r="B153" s="93"/>
      <x:c r="C153" s="93"/>
      <x:c r="D153" s="93"/>
      <x:c r="E153" s="93"/>
      <x:c r="F153" s="93"/>
      <x:c r="G153" s="93"/>
      <x:c r="H153" s="93"/>
      <x:c r="I153" s="93"/>
      <x:c r="J153" s="93"/>
      <x:c r="K153" s="93"/>
      <x:c r="L153" s="93"/>
      <x:c r="M153" s="93"/>
      <x:c r="N153" s="93"/>
      <x:c r="O153" s="93"/>
      <x:c r="P153" s="93"/>
      <x:c r="Q153" s="93"/>
      <x:c r="R153" s="93"/>
      <x:c r="S153" s="93"/>
      <x:c r="T153" s="93"/>
    </x:row>
    <x:row r="154">
      <x:c r="A154" s="93"/>
      <x:c r="B154" s="93"/>
      <x:c r="C154" s="93"/>
      <x:c r="D154" s="93"/>
      <x:c r="E154" s="93"/>
      <x:c r="F154" s="93"/>
      <x:c r="G154" s="93"/>
      <x:c r="H154" s="93"/>
      <x:c r="I154" s="93"/>
      <x:c r="J154" s="93"/>
      <x:c r="K154" s="93"/>
      <x:c r="L154" s="93"/>
      <x:c r="M154" s="93"/>
      <x:c r="N154" s="93"/>
      <x:c r="O154" s="93"/>
      <x:c r="P154" s="93"/>
      <x:c r="Q154" s="93"/>
      <x:c r="R154" s="93"/>
      <x:c r="S154" s="93"/>
      <x:c r="T154" s="93"/>
    </x:row>
    <x:row r="155">
      <x:c r="A155" s="93"/>
      <x:c r="B155" s="93"/>
      <x:c r="C155" s="93"/>
      <x:c r="D155" s="93"/>
      <x:c r="E155" s="93"/>
      <x:c r="F155" s="93"/>
      <x:c r="G155" s="93"/>
      <x:c r="H155" s="93"/>
      <x:c r="I155" s="93"/>
      <x:c r="J155" s="93"/>
      <x:c r="K155" s="93"/>
      <x:c r="L155" s="93"/>
      <x:c r="M155" s="93"/>
      <x:c r="N155" s="93"/>
      <x:c r="O155" s="93"/>
      <x:c r="P155" s="93"/>
      <x:c r="Q155" s="93"/>
      <x:c r="R155" s="93"/>
      <x:c r="S155" s="93"/>
      <x:c r="T155" s="93"/>
    </x:row>
    <x:row r="156">
      <x:c r="A156" s="93"/>
      <x:c r="B156" s="93"/>
      <x:c r="C156" s="93"/>
      <x:c r="D156" s="93"/>
      <x:c r="E156" s="93"/>
      <x:c r="F156" s="93"/>
      <x:c r="G156" s="93"/>
      <x:c r="H156" s="93"/>
      <x:c r="I156" s="93"/>
      <x:c r="J156" s="93"/>
      <x:c r="K156" s="93"/>
      <x:c r="L156" s="93"/>
      <x:c r="M156" s="93"/>
      <x:c r="N156" s="93"/>
      <x:c r="O156" s="93"/>
      <x:c r="P156" s="93"/>
      <x:c r="Q156" s="93"/>
      <x:c r="R156" s="93"/>
      <x:c r="S156" s="93"/>
      <x:c r="T156" s="93"/>
    </x:row>
    <x:row r="157">
      <x:c r="A157" s="93"/>
      <x:c r="B157" s="93"/>
      <x:c r="C157" s="93"/>
      <x:c r="D157" s="93"/>
      <x:c r="E157" s="93"/>
      <x:c r="F157" s="93"/>
      <x:c r="G157" s="93"/>
      <x:c r="H157" s="93"/>
      <x:c r="I157" s="93"/>
      <x:c r="J157" s="93"/>
      <x:c r="K157" s="93"/>
      <x:c r="L157" s="93"/>
      <x:c r="M157" s="93"/>
      <x:c r="N157" s="93"/>
      <x:c r="O157" s="93"/>
      <x:c r="P157" s="93"/>
      <x:c r="Q157" s="93"/>
      <x:c r="R157" s="93"/>
      <x:c r="S157" s="93"/>
      <x:c r="T157" s="93"/>
    </x:row>
    <x:row r="158">
      <x:c r="A158" s="93"/>
      <x:c r="B158" s="93"/>
      <x:c r="C158" s="93"/>
      <x:c r="D158" s="93"/>
      <x:c r="E158" s="93"/>
      <x:c r="F158" s="93"/>
      <x:c r="G158" s="93"/>
      <x:c r="H158" s="93"/>
      <x:c r="I158" s="93"/>
      <x:c r="J158" s="93"/>
      <x:c r="K158" s="93"/>
      <x:c r="L158" s="93"/>
      <x:c r="M158" s="93"/>
      <x:c r="N158" s="93"/>
      <x:c r="O158" s="93"/>
      <x:c r="P158" s="93"/>
      <x:c r="Q158" s="93"/>
      <x:c r="R158" s="93"/>
      <x:c r="S158" s="93"/>
      <x:c r="T158" s="93"/>
    </x:row>
    <x:row r="159">
      <x:c r="A159" s="93"/>
      <x:c r="B159" s="93"/>
      <x:c r="C159" s="93"/>
      <x:c r="D159" s="93"/>
      <x:c r="E159" s="93"/>
      <x:c r="F159" s="93"/>
      <x:c r="G159" s="93"/>
      <x:c r="H159" s="93"/>
      <x:c r="I159" s="93"/>
      <x:c r="J159" s="93"/>
      <x:c r="K159" s="93"/>
      <x:c r="L159" s="93"/>
      <x:c r="M159" s="93"/>
      <x:c r="N159" s="93"/>
      <x:c r="O159" s="93"/>
      <x:c r="P159" s="93"/>
      <x:c r="Q159" s="93"/>
      <x:c r="R159" s="93"/>
      <x:c r="S159" s="93"/>
      <x:c r="T159" s="93"/>
    </x:row>
    <x:row r="160">
      <x:c r="A160" s="93"/>
      <x:c r="B160" s="93"/>
      <x:c r="C160" s="93"/>
      <x:c r="D160" s="93"/>
      <x:c r="E160" s="93"/>
      <x:c r="F160" s="93"/>
      <x:c r="G160" s="93"/>
      <x:c r="H160" s="93"/>
      <x:c r="I160" s="93"/>
      <x:c r="J160" s="93"/>
      <x:c r="K160" s="93"/>
      <x:c r="L160" s="93"/>
      <x:c r="M160" s="93"/>
      <x:c r="N160" s="93"/>
      <x:c r="O160" s="93"/>
      <x:c r="P160" s="93"/>
      <x:c r="Q160" s="93"/>
      <x:c r="R160" s="93"/>
      <x:c r="S160" s="93"/>
      <x:c r="T160" s="93"/>
    </x:row>
    <x:row r="161">
      <x:c r="A161" s="93"/>
      <x:c r="B161" s="93"/>
      <x:c r="C161" s="93"/>
      <x:c r="D161" s="93"/>
      <x:c r="E161" s="93"/>
      <x:c r="F161" s="93"/>
      <x:c r="G161" s="93"/>
      <x:c r="H161" s="93"/>
      <x:c r="I161" s="93"/>
      <x:c r="J161" s="93"/>
      <x:c r="K161" s="93"/>
      <x:c r="L161" s="93"/>
      <x:c r="M161" s="93"/>
      <x:c r="N161" s="93"/>
      <x:c r="O161" s="93"/>
      <x:c r="P161" s="93"/>
      <x:c r="Q161" s="93"/>
      <x:c r="R161" s="93"/>
      <x:c r="S161" s="93"/>
      <x:c r="T161" s="93"/>
    </x:row>
    <x:row r="162">
      <x:c r="A162" s="93"/>
      <x:c r="B162" s="93"/>
      <x:c r="C162" s="93"/>
      <x:c r="D162" s="93"/>
      <x:c r="E162" s="93"/>
      <x:c r="F162" s="93"/>
      <x:c r="G162" s="93"/>
      <x:c r="H162" s="93"/>
      <x:c r="I162" s="93"/>
      <x:c r="J162" s="93"/>
      <x:c r="K162" s="93"/>
      <x:c r="L162" s="93"/>
      <x:c r="M162" s="93"/>
      <x:c r="N162" s="93"/>
      <x:c r="O162" s="93"/>
      <x:c r="P162" s="93"/>
      <x:c r="Q162" s="93"/>
      <x:c r="R162" s="93"/>
      <x:c r="S162" s="93"/>
      <x:c r="T162" s="93"/>
    </x:row>
    <x:row r="163">
      <x:c r="A163" s="93"/>
      <x:c r="B163" s="93"/>
      <x:c r="C163" s="93"/>
      <x:c r="D163" s="93"/>
      <x:c r="E163" s="93"/>
      <x:c r="F163" s="93"/>
      <x:c r="G163" s="93"/>
      <x:c r="H163" s="93"/>
      <x:c r="I163" s="93"/>
      <x:c r="J163" s="93"/>
      <x:c r="K163" s="93"/>
      <x:c r="L163" s="93"/>
      <x:c r="M163" s="93"/>
      <x:c r="N163" s="93"/>
      <x:c r="O163" s="93"/>
      <x:c r="P163" s="93"/>
      <x:c r="Q163" s="93"/>
      <x:c r="R163" s="93"/>
      <x:c r="S163" s="93"/>
      <x:c r="T163" s="93"/>
    </x:row>
    <x:row r="164">
      <x:c r="A164" s="93"/>
      <x:c r="B164" s="93"/>
      <x:c r="C164" s="93"/>
      <x:c r="D164" s="93"/>
      <x:c r="E164" s="93"/>
      <x:c r="F164" s="93"/>
      <x:c r="G164" s="93"/>
      <x:c r="H164" s="93"/>
      <x:c r="I164" s="93"/>
      <x:c r="J164" s="93"/>
      <x:c r="K164" s="93"/>
      <x:c r="L164" s="93"/>
      <x:c r="M164" s="93"/>
      <x:c r="N164" s="93"/>
      <x:c r="O164" s="93"/>
      <x:c r="P164" s="93"/>
      <x:c r="Q164" s="93"/>
      <x:c r="R164" s="93"/>
      <x:c r="S164" s="93"/>
      <x:c r="T164" s="93"/>
    </x:row>
    <x:row r="165">
      <x:c r="A165" s="93"/>
      <x:c r="B165" s="93"/>
      <x:c r="C165" s="93"/>
      <x:c r="D165" s="93"/>
      <x:c r="E165" s="93"/>
      <x:c r="F165" s="93"/>
      <x:c r="G165" s="93"/>
      <x:c r="H165" s="93"/>
      <x:c r="I165" s="93"/>
      <x:c r="J165" s="93"/>
      <x:c r="K165" s="93"/>
      <x:c r="L165" s="93"/>
      <x:c r="M165" s="93"/>
      <x:c r="N165" s="93"/>
      <x:c r="O165" s="93"/>
      <x:c r="P165" s="93"/>
      <x:c r="Q165" s="93"/>
      <x:c r="R165" s="93"/>
      <x:c r="S165" s="93"/>
      <x:c r="T165" s="93"/>
    </x:row>
    <x:row r="166">
      <x:c r="A166" s="93"/>
      <x:c r="B166" s="93"/>
      <x:c r="C166" s="93"/>
      <x:c r="D166" s="93"/>
      <x:c r="E166" s="93"/>
      <x:c r="F166" s="93"/>
      <x:c r="G166" s="93"/>
      <x:c r="H166" s="93"/>
      <x:c r="I166" s="93"/>
      <x:c r="J166" s="93"/>
      <x:c r="K166" s="93"/>
      <x:c r="L166" s="93"/>
      <x:c r="M166" s="93"/>
      <x:c r="N166" s="93"/>
      <x:c r="O166" s="93"/>
      <x:c r="P166" s="93"/>
      <x:c r="Q166" s="93"/>
      <x:c r="R166" s="93"/>
      <x:c r="S166" s="93"/>
      <x:c r="T166" s="93"/>
    </x:row>
    <x:row r="167">
      <x:c r="A167" s="93"/>
      <x:c r="B167" s="93"/>
      <x:c r="C167" s="93"/>
      <x:c r="D167" s="93"/>
      <x:c r="E167" s="93"/>
      <x:c r="F167" s="93"/>
      <x:c r="G167" s="93"/>
      <x:c r="H167" s="93"/>
      <x:c r="I167" s="93"/>
      <x:c r="J167" s="93"/>
      <x:c r="K167" s="93"/>
      <x:c r="L167" s="93"/>
      <x:c r="M167" s="93"/>
      <x:c r="N167" s="93"/>
      <x:c r="O167" s="93"/>
      <x:c r="P167" s="93"/>
      <x:c r="Q167" s="93"/>
      <x:c r="R167" s="93"/>
      <x:c r="S167" s="93"/>
      <x:c r="T167" s="93"/>
    </x:row>
    <x:row r="168">
      <x:c r="A168" s="93"/>
      <x:c r="B168" s="93"/>
      <x:c r="C168" s="93"/>
      <x:c r="D168" s="93"/>
      <x:c r="E168" s="93"/>
      <x:c r="F168" s="93"/>
      <x:c r="G168" s="93"/>
      <x:c r="H168" s="93"/>
      <x:c r="I168" s="93"/>
      <x:c r="J168" s="93"/>
      <x:c r="K168" s="93"/>
      <x:c r="L168" s="93"/>
      <x:c r="M168" s="93"/>
      <x:c r="N168" s="93"/>
      <x:c r="O168" s="93"/>
      <x:c r="P168" s="93"/>
      <x:c r="Q168" s="93"/>
      <x:c r="R168" s="93"/>
      <x:c r="S168" s="93"/>
      <x:c r="T168" s="93"/>
    </x:row>
    <x:row r="169">
      <x:c r="A169" s="93"/>
      <x:c r="B169" s="93"/>
      <x:c r="C169" s="93"/>
      <x:c r="D169" s="93"/>
      <x:c r="E169" s="93"/>
      <x:c r="F169" s="93"/>
      <x:c r="G169" s="93"/>
      <x:c r="H169" s="93"/>
      <x:c r="I169" s="93"/>
      <x:c r="J169" s="93"/>
      <x:c r="K169" s="93"/>
      <x:c r="L169" s="93"/>
      <x:c r="M169" s="93"/>
      <x:c r="N169" s="93"/>
      <x:c r="O169" s="93"/>
      <x:c r="P169" s="93"/>
      <x:c r="Q169" s="93"/>
      <x:c r="R169" s="93"/>
      <x:c r="S169" s="93"/>
      <x:c r="T169" s="93"/>
    </x:row>
    <x:row r="170">
      <x:c r="A170" s="93"/>
      <x:c r="B170" s="93"/>
      <x:c r="C170" s="93"/>
      <x:c r="D170" s="93"/>
      <x:c r="E170" s="93"/>
      <x:c r="F170" s="93"/>
      <x:c r="G170" s="93"/>
      <x:c r="H170" s="93"/>
      <x:c r="I170" s="93"/>
      <x:c r="J170" s="93"/>
      <x:c r="K170" s="93"/>
      <x:c r="L170" s="93"/>
      <x:c r="M170" s="93"/>
      <x:c r="N170" s="93"/>
      <x:c r="O170" s="93"/>
      <x:c r="P170" s="93"/>
      <x:c r="Q170" s="93"/>
      <x:c r="R170" s="93"/>
      <x:c r="S170" s="93"/>
      <x:c r="T170" s="93"/>
    </x:row>
    <x:row r="171">
      <x:c r="A171" s="93"/>
      <x:c r="B171" s="93"/>
      <x:c r="C171" s="93"/>
      <x:c r="D171" s="93"/>
      <x:c r="E171" s="93"/>
      <x:c r="F171" s="93"/>
      <x:c r="G171" s="93"/>
      <x:c r="H171" s="93"/>
      <x:c r="I171" s="93"/>
      <x:c r="J171" s="93"/>
      <x:c r="K171" s="93"/>
      <x:c r="L171" s="93"/>
      <x:c r="M171" s="93"/>
      <x:c r="N171" s="93"/>
      <x:c r="O171" s="93"/>
      <x:c r="P171" s="93"/>
      <x:c r="Q171" s="93"/>
      <x:c r="R171" s="93"/>
      <x:c r="S171" s="93"/>
      <x:c r="T171" s="93"/>
    </x:row>
    <x:row r="172">
      <x:c r="A172" s="93"/>
      <x:c r="B172" s="93"/>
      <x:c r="C172" s="93"/>
      <x:c r="D172" s="93"/>
      <x:c r="E172" s="93"/>
      <x:c r="F172" s="93"/>
      <x:c r="G172" s="93"/>
      <x:c r="H172" s="93"/>
      <x:c r="I172" s="93"/>
      <x:c r="J172" s="93"/>
      <x:c r="K172" s="93"/>
      <x:c r="L172" s="93"/>
      <x:c r="M172" s="93"/>
      <x:c r="N172" s="93"/>
      <x:c r="O172" s="93"/>
      <x:c r="P172" s="93"/>
      <x:c r="Q172" s="93"/>
      <x:c r="R172" s="93"/>
      <x:c r="S172" s="93"/>
      <x:c r="T172" s="93"/>
    </x:row>
    <x:row r="173">
      <x:c r="A173" s="93"/>
      <x:c r="B173" s="93"/>
      <x:c r="C173" s="93"/>
      <x:c r="D173" s="93"/>
      <x:c r="E173" s="93"/>
      <x:c r="F173" s="93"/>
      <x:c r="G173" s="93"/>
      <x:c r="H173" s="93"/>
      <x:c r="I173" s="93"/>
      <x:c r="J173" s="93"/>
      <x:c r="K173" s="93"/>
      <x:c r="L173" s="93"/>
      <x:c r="M173" s="93"/>
      <x:c r="N173" s="93"/>
      <x:c r="O173" s="93"/>
      <x:c r="P173" s="93"/>
      <x:c r="Q173" s="93"/>
      <x:c r="R173" s="93"/>
      <x:c r="S173" s="93"/>
      <x:c r="T173" s="93"/>
    </x:row>
    <x:row r="174">
      <x:c r="A174" s="93"/>
      <x:c r="B174" s="93"/>
      <x:c r="C174" s="93"/>
      <x:c r="D174" s="93"/>
      <x:c r="E174" s="93"/>
      <x:c r="F174" s="93"/>
      <x:c r="G174" s="93"/>
      <x:c r="H174" s="93"/>
      <x:c r="I174" s="93"/>
      <x:c r="J174" s="93"/>
      <x:c r="K174" s="93"/>
      <x:c r="L174" s="93"/>
      <x:c r="M174" s="93"/>
      <x:c r="N174" s="93"/>
      <x:c r="O174" s="93"/>
      <x:c r="P174" s="93"/>
      <x:c r="Q174" s="93"/>
      <x:c r="R174" s="93"/>
      <x:c r="S174" s="93"/>
      <x:c r="T174" s="93"/>
    </x:row>
    <x:row r="175">
      <x:c r="A175" s="93"/>
      <x:c r="B175" s="93"/>
      <x:c r="C175" s="93"/>
      <x:c r="D175" s="93"/>
      <x:c r="E175" s="93"/>
      <x:c r="F175" s="93"/>
      <x:c r="G175" s="93"/>
      <x:c r="H175" s="93"/>
      <x:c r="I175" s="93"/>
      <x:c r="J175" s="93"/>
      <x:c r="K175" s="93"/>
      <x:c r="L175" s="93"/>
      <x:c r="M175" s="93"/>
      <x:c r="N175" s="93"/>
      <x:c r="O175" s="93"/>
      <x:c r="P175" s="93"/>
      <x:c r="Q175" s="93"/>
      <x:c r="R175" s="93"/>
      <x:c r="S175" s="93"/>
      <x:c r="T175" s="93"/>
    </x:row>
    <x:row r="176">
      <x:c r="A176" s="93"/>
      <x:c r="B176" s="93"/>
      <x:c r="C176" s="93"/>
      <x:c r="D176" s="93"/>
      <x:c r="E176" s="93"/>
      <x:c r="F176" s="93"/>
      <x:c r="G176" s="93"/>
      <x:c r="H176" s="93"/>
      <x:c r="I176" s="93"/>
      <x:c r="J176" s="93"/>
      <x:c r="K176" s="93"/>
      <x:c r="L176" s="93"/>
      <x:c r="M176" s="93"/>
      <x:c r="N176" s="93"/>
      <x:c r="O176" s="93"/>
      <x:c r="P176" s="93"/>
      <x:c r="Q176" s="93"/>
      <x:c r="R176" s="93"/>
      <x:c r="S176" s="93"/>
      <x:c r="T176" s="93"/>
    </x:row>
    <x:row r="177">
      <x:c r="A177" s="93"/>
      <x:c r="B177" s="93"/>
      <x:c r="C177" s="93"/>
      <x:c r="D177" s="93"/>
      <x:c r="E177" s="93"/>
      <x:c r="F177" s="93"/>
      <x:c r="G177" s="93"/>
      <x:c r="H177" s="93"/>
      <x:c r="I177" s="93"/>
      <x:c r="J177" s="93"/>
      <x:c r="K177" s="93"/>
      <x:c r="L177" s="93"/>
      <x:c r="M177" s="93"/>
      <x:c r="N177" s="93"/>
      <x:c r="O177" s="93"/>
      <x:c r="P177" s="93"/>
      <x:c r="Q177" s="93"/>
      <x:c r="R177" s="93"/>
      <x:c r="S177" s="93"/>
      <x:c r="T177" s="93"/>
    </x:row>
    <x:row r="178">
      <x:c r="A178" s="93"/>
      <x:c r="B178" s="93"/>
      <x:c r="C178" s="93"/>
      <x:c r="D178" s="93"/>
      <x:c r="E178" s="93"/>
      <x:c r="F178" s="93"/>
      <x:c r="G178" s="93"/>
      <x:c r="H178" s="93"/>
      <x:c r="I178" s="93"/>
      <x:c r="J178" s="93"/>
      <x:c r="K178" s="93"/>
      <x:c r="L178" s="93"/>
      <x:c r="M178" s="93"/>
      <x:c r="N178" s="93"/>
      <x:c r="O178" s="93"/>
      <x:c r="P178" s="93"/>
      <x:c r="Q178" s="93"/>
      <x:c r="R178" s="93"/>
      <x:c r="S178" s="93"/>
      <x:c r="T178" s="93"/>
    </x:row>
    <x:row r="179">
      <x:c r="A179" s="93"/>
      <x:c r="B179" s="93"/>
      <x:c r="C179" s="93"/>
      <x:c r="D179" s="93"/>
      <x:c r="E179" s="93"/>
      <x:c r="F179" s="93"/>
      <x:c r="G179" s="93"/>
      <x:c r="H179" s="93"/>
      <x:c r="I179" s="93"/>
      <x:c r="J179" s="93"/>
      <x:c r="K179" s="93"/>
      <x:c r="L179" s="93"/>
      <x:c r="M179" s="93"/>
      <x:c r="N179" s="93"/>
      <x:c r="O179" s="93"/>
      <x:c r="P179" s="93"/>
      <x:c r="Q179" s="93"/>
      <x:c r="R179" s="93"/>
      <x:c r="S179" s="93"/>
      <x:c r="T179" s="93"/>
    </x:row>
    <x:row r="180">
      <x:c r="A180" s="93"/>
      <x:c r="B180" s="93"/>
      <x:c r="C180" s="93"/>
      <x:c r="D180" s="93"/>
      <x:c r="E180" s="93"/>
      <x:c r="F180" s="93"/>
      <x:c r="G180" s="93"/>
      <x:c r="H180" s="93"/>
      <x:c r="I180" s="93"/>
      <x:c r="J180" s="93"/>
      <x:c r="K180" s="93"/>
      <x:c r="L180" s="93"/>
      <x:c r="M180" s="93"/>
      <x:c r="N180" s="93"/>
      <x:c r="O180" s="93"/>
      <x:c r="P180" s="93"/>
      <x:c r="Q180" s="93"/>
      <x:c r="R180" s="93"/>
      <x:c r="S180" s="93"/>
      <x:c r="T180" s="93"/>
    </x:row>
    <x:row r="181">
      <x:c r="A181" s="93"/>
      <x:c r="B181" s="93"/>
      <x:c r="C181" s="93"/>
      <x:c r="D181" s="93"/>
      <x:c r="E181" s="93"/>
      <x:c r="F181" s="93"/>
      <x:c r="G181" s="93"/>
      <x:c r="H181" s="93"/>
      <x:c r="I181" s="93"/>
      <x:c r="J181" s="93"/>
      <x:c r="K181" s="93"/>
      <x:c r="L181" s="93"/>
      <x:c r="M181" s="93"/>
      <x:c r="N181" s="93"/>
      <x:c r="O181" s="93"/>
      <x:c r="P181" s="93"/>
      <x:c r="Q181" s="93"/>
      <x:c r="R181" s="93"/>
      <x:c r="S181" s="93"/>
      <x:c r="T181" s="93"/>
    </x:row>
    <x:row r="182">
      <x:c r="A182" s="93"/>
      <x:c r="B182" s="93"/>
      <x:c r="C182" s="93"/>
      <x:c r="D182" s="93"/>
      <x:c r="E182" s="93"/>
      <x:c r="F182" s="93"/>
      <x:c r="G182" s="93"/>
      <x:c r="H182" s="93"/>
      <x:c r="I182" s="93"/>
      <x:c r="J182" s="93"/>
      <x:c r="K182" s="93"/>
      <x:c r="L182" s="93"/>
      <x:c r="M182" s="93"/>
      <x:c r="N182" s="93"/>
      <x:c r="O182" s="93"/>
      <x:c r="P182" s="93"/>
      <x:c r="Q182" s="93"/>
      <x:c r="R182" s="93"/>
      <x:c r="S182" s="93"/>
      <x:c r="T182" s="93"/>
    </x:row>
    <x:row r="183">
      <x:c r="A183" s="93"/>
      <x:c r="B183" s="93"/>
      <x:c r="C183" s="93"/>
      <x:c r="D183" s="93"/>
      <x:c r="E183" s="93"/>
      <x:c r="F183" s="93"/>
      <x:c r="G183" s="93"/>
      <x:c r="H183" s="93"/>
      <x:c r="I183" s="93"/>
      <x:c r="J183" s="93"/>
      <x:c r="K183" s="93"/>
      <x:c r="L183" s="93"/>
      <x:c r="M183" s="93"/>
      <x:c r="N183" s="93"/>
      <x:c r="O183" s="93"/>
      <x:c r="P183" s="93"/>
      <x:c r="Q183" s="93"/>
      <x:c r="R183" s="93"/>
      <x:c r="S183" s="93"/>
      <x:c r="T183" s="93"/>
    </x:row>
    <x:row r="184">
      <x:c r="A184" s="93"/>
      <x:c r="B184" s="93"/>
      <x:c r="C184" s="93"/>
      <x:c r="D184" s="93"/>
      <x:c r="E184" s="93"/>
      <x:c r="F184" s="93"/>
      <x:c r="G184" s="93"/>
      <x:c r="H184" s="93"/>
      <x:c r="I184" s="93"/>
      <x:c r="J184" s="93"/>
      <x:c r="K184" s="93"/>
      <x:c r="L184" s="93"/>
      <x:c r="M184" s="93"/>
      <x:c r="N184" s="93"/>
      <x:c r="O184" s="93"/>
      <x:c r="P184" s="93"/>
      <x:c r="Q184" s="93"/>
      <x:c r="R184" s="93"/>
      <x:c r="S184" s="93"/>
      <x:c r="T184" s="93"/>
    </x:row>
    <x:row r="185">
      <x:c r="A185" s="93"/>
      <x:c r="B185" s="93"/>
      <x:c r="C185" s="93"/>
      <x:c r="D185" s="93"/>
      <x:c r="E185" s="93"/>
      <x:c r="F185" s="93"/>
      <x:c r="G185" s="93"/>
      <x:c r="H185" s="93"/>
      <x:c r="I185" s="93"/>
      <x:c r="J185" s="93"/>
      <x:c r="K185" s="93"/>
      <x:c r="L185" s="93"/>
      <x:c r="M185" s="93"/>
      <x:c r="N185" s="93"/>
      <x:c r="O185" s="93"/>
      <x:c r="P185" s="93"/>
      <x:c r="Q185" s="93"/>
      <x:c r="R185" s="93"/>
      <x:c r="S185" s="93"/>
      <x:c r="T185" s="93"/>
    </x:row>
    <x:row r="186">
      <x:c r="A186" s="93"/>
      <x:c r="B186" s="93"/>
      <x:c r="C186" s="93"/>
      <x:c r="D186" s="93"/>
      <x:c r="E186" s="93"/>
      <x:c r="F186" s="93"/>
      <x:c r="G186" s="93"/>
      <x:c r="H186" s="93"/>
      <x:c r="I186" s="93"/>
      <x:c r="J186" s="93"/>
      <x:c r="K186" s="93"/>
      <x:c r="L186" s="93"/>
      <x:c r="M186" s="93"/>
      <x:c r="N186" s="93"/>
      <x:c r="O186" s="93"/>
      <x:c r="P186" s="93"/>
      <x:c r="Q186" s="93"/>
      <x:c r="R186" s="93"/>
      <x:c r="S186" s="93"/>
      <x:c r="T186" s="93"/>
    </x:row>
    <x:row r="187">
      <x:c r="A187" s="93"/>
      <x:c r="B187" s="93"/>
      <x:c r="C187" s="93"/>
      <x:c r="D187" s="93"/>
      <x:c r="E187" s="93"/>
      <x:c r="F187" s="93"/>
      <x:c r="G187" s="93"/>
      <x:c r="H187" s="93"/>
      <x:c r="I187" s="93"/>
      <x:c r="J187" s="93"/>
      <x:c r="K187" s="93"/>
      <x:c r="L187" s="93"/>
      <x:c r="M187" s="93"/>
      <x:c r="N187" s="93"/>
      <x:c r="O187" s="93"/>
      <x:c r="P187" s="93"/>
      <x:c r="Q187" s="93"/>
      <x:c r="R187" s="93"/>
      <x:c r="S187" s="93"/>
      <x:c r="T187" s="93"/>
    </x:row>
    <x:row r="188">
      <x:c r="A188" s="93"/>
      <x:c r="B188" s="93"/>
      <x:c r="C188" s="93"/>
      <x:c r="D188" s="93"/>
      <x:c r="E188" s="93"/>
      <x:c r="F188" s="93"/>
      <x:c r="G188" s="93"/>
      <x:c r="H188" s="93"/>
      <x:c r="I188" s="93"/>
      <x:c r="J188" s="93"/>
      <x:c r="K188" s="93"/>
      <x:c r="L188" s="93"/>
      <x:c r="M188" s="93"/>
      <x:c r="N188" s="93"/>
      <x:c r="O188" s="93"/>
      <x:c r="P188" s="93"/>
      <x:c r="Q188" s="93"/>
      <x:c r="R188" s="93"/>
      <x:c r="S188" s="93"/>
      <x:c r="T188" s="93"/>
    </x:row>
    <x:row r="189">
      <x:c r="A189" s="93"/>
      <x:c r="B189" s="93"/>
      <x:c r="C189" s="93"/>
      <x:c r="D189" s="93"/>
      <x:c r="E189" s="93"/>
      <x:c r="F189" s="93"/>
      <x:c r="G189" s="93"/>
      <x:c r="H189" s="93"/>
      <x:c r="I189" s="93"/>
      <x:c r="J189" s="93"/>
      <x:c r="K189" s="93"/>
      <x:c r="L189" s="93"/>
      <x:c r="M189" s="93"/>
      <x:c r="N189" s="93"/>
      <x:c r="O189" s="93"/>
      <x:c r="P189" s="93"/>
      <x:c r="Q189" s="93"/>
      <x:c r="R189" s="93"/>
      <x:c r="S189" s="93"/>
      <x:c r="T189" s="93"/>
    </x:row>
    <x:row r="190">
      <x:c r="A190" s="93"/>
      <x:c r="B190" s="93"/>
      <x:c r="C190" s="93"/>
      <x:c r="D190" s="93"/>
      <x:c r="E190" s="93"/>
      <x:c r="F190" s="93"/>
      <x:c r="G190" s="93"/>
      <x:c r="H190" s="93"/>
      <x:c r="I190" s="93"/>
      <x:c r="J190" s="93"/>
      <x:c r="K190" s="93"/>
      <x:c r="L190" s="93"/>
      <x:c r="M190" s="93"/>
      <x:c r="N190" s="93"/>
      <x:c r="O190" s="93"/>
      <x:c r="P190" s="93"/>
      <x:c r="Q190" s="93"/>
      <x:c r="R190" s="93"/>
      <x:c r="S190" s="93"/>
      <x:c r="T190" s="93"/>
    </x:row>
    <x:row r="191">
      <x:c r="A191" s="93"/>
      <x:c r="B191" s="93"/>
      <x:c r="C191" s="93"/>
      <x:c r="D191" s="93"/>
      <x:c r="E191" s="93"/>
      <x:c r="F191" s="93"/>
      <x:c r="G191" s="93"/>
      <x:c r="H191" s="93"/>
      <x:c r="I191" s="93"/>
      <x:c r="J191" s="93"/>
      <x:c r="K191" s="93"/>
      <x:c r="L191" s="93"/>
      <x:c r="M191" s="93"/>
      <x:c r="N191" s="93"/>
      <x:c r="O191" s="93"/>
      <x:c r="P191" s="93"/>
      <x:c r="Q191" s="93"/>
      <x:c r="R191" s="93"/>
      <x:c r="S191" s="93"/>
      <x:c r="T191" s="93"/>
    </x:row>
    <x:row r="192">
      <x:c r="A192" s="93"/>
      <x:c r="B192" s="93"/>
      <x:c r="C192" s="93"/>
      <x:c r="D192" s="93"/>
      <x:c r="E192" s="93"/>
      <x:c r="F192" s="93"/>
      <x:c r="G192" s="93"/>
      <x:c r="H192" s="93"/>
      <x:c r="I192" s="93"/>
      <x:c r="J192" s="93"/>
      <x:c r="K192" s="93"/>
      <x:c r="L192" s="93"/>
      <x:c r="M192" s="93"/>
      <x:c r="N192" s="93"/>
      <x:c r="O192" s="93"/>
      <x:c r="P192" s="93"/>
      <x:c r="Q192" s="93"/>
      <x:c r="R192" s="93"/>
      <x:c r="S192" s="93"/>
      <x:c r="T192" s="93"/>
    </x:row>
    <x:row r="193">
      <x:c r="A193" s="93"/>
      <x:c r="B193" s="93"/>
      <x:c r="C193" s="93"/>
      <x:c r="D193" s="93"/>
      <x:c r="E193" s="93"/>
      <x:c r="F193" s="93"/>
      <x:c r="G193" s="93"/>
      <x:c r="H193" s="93"/>
      <x:c r="I193" s="93"/>
      <x:c r="J193" s="93"/>
      <x:c r="K193" s="93"/>
      <x:c r="L193" s="93"/>
      <x:c r="M193" s="93"/>
      <x:c r="N193" s="93"/>
      <x:c r="O193" s="93"/>
      <x:c r="P193" s="93"/>
      <x:c r="Q193" s="93"/>
      <x:c r="R193" s="93"/>
      <x:c r="S193" s="93"/>
      <x:c r="T193" s="93"/>
    </x:row>
    <x:row r="194">
      <x:c r="A194" s="93"/>
      <x:c r="B194" s="93"/>
      <x:c r="C194" s="93"/>
      <x:c r="D194" s="93"/>
      <x:c r="E194" s="93"/>
      <x:c r="F194" s="93"/>
      <x:c r="G194" s="93"/>
      <x:c r="H194" s="93"/>
      <x:c r="I194" s="93"/>
      <x:c r="J194" s="93"/>
      <x:c r="K194" s="93"/>
      <x:c r="L194" s="93"/>
      <x:c r="M194" s="93"/>
      <x:c r="N194" s="93"/>
      <x:c r="O194" s="93"/>
      <x:c r="P194" s="93"/>
      <x:c r="Q194" s="93"/>
      <x:c r="R194" s="93"/>
      <x:c r="S194" s="93"/>
      <x:c r="T194" s="93"/>
    </x:row>
    <x:row r="195">
      <x:c r="A195" s="93"/>
      <x:c r="B195" s="93"/>
      <x:c r="C195" s="93"/>
      <x:c r="D195" s="93"/>
      <x:c r="E195" s="93"/>
      <x:c r="F195" s="93"/>
      <x:c r="G195" s="93"/>
      <x:c r="H195" s="93"/>
      <x:c r="I195" s="93"/>
      <x:c r="J195" s="93"/>
      <x:c r="K195" s="93"/>
      <x:c r="L195" s="93"/>
      <x:c r="M195" s="93"/>
      <x:c r="N195" s="93"/>
      <x:c r="O195" s="93"/>
      <x:c r="P195" s="93"/>
      <x:c r="Q195" s="93"/>
      <x:c r="R195" s="93"/>
      <x:c r="S195" s="93"/>
      <x:c r="T195" s="93"/>
    </x:row>
    <x:row r="196">
      <x:c r="A196" s="93"/>
      <x:c r="B196" s="93"/>
      <x:c r="C196" s="93"/>
      <x:c r="D196" s="93"/>
      <x:c r="E196" s="93"/>
      <x:c r="F196" s="93"/>
      <x:c r="G196" s="93"/>
      <x:c r="H196" s="93"/>
      <x:c r="I196" s="93"/>
      <x:c r="J196" s="93"/>
      <x:c r="K196" s="93"/>
      <x:c r="L196" s="93"/>
      <x:c r="M196" s="93"/>
      <x:c r="N196" s="93"/>
      <x:c r="O196" s="93"/>
      <x:c r="P196" s="93"/>
      <x:c r="Q196" s="93"/>
      <x:c r="R196" s="93"/>
      <x:c r="S196" s="93"/>
      <x:c r="T196" s="93"/>
    </x:row>
    <x:row r="197">
      <x:c r="A197" s="93"/>
      <x:c r="B197" s="93"/>
      <x:c r="C197" s="93"/>
      <x:c r="D197" s="93"/>
      <x:c r="E197" s="93"/>
      <x:c r="F197" s="93"/>
      <x:c r="G197" s="93"/>
      <x:c r="H197" s="93"/>
      <x:c r="I197" s="93"/>
      <x:c r="J197" s="93"/>
      <x:c r="K197" s="93"/>
      <x:c r="L197" s="93"/>
      <x:c r="M197" s="93"/>
      <x:c r="N197" s="93"/>
      <x:c r="O197" s="93"/>
      <x:c r="P197" s="93"/>
      <x:c r="Q197" s="93"/>
      <x:c r="R197" s="93"/>
      <x:c r="S197" s="93"/>
      <x:c r="T197" s="93"/>
    </x:row>
    <x:row r="198">
      <x:c r="A198" s="93"/>
      <x:c r="B198" s="93"/>
      <x:c r="C198" s="93"/>
      <x:c r="D198" s="93"/>
      <x:c r="E198" s="93"/>
      <x:c r="F198" s="93"/>
      <x:c r="G198" s="93"/>
      <x:c r="H198" s="93"/>
      <x:c r="I198" s="93"/>
      <x:c r="J198" s="93"/>
      <x:c r="K198" s="93"/>
      <x:c r="L198" s="93"/>
      <x:c r="M198" s="93"/>
      <x:c r="N198" s="93"/>
      <x:c r="O198" s="93"/>
      <x:c r="P198" s="93"/>
      <x:c r="Q198" s="93"/>
      <x:c r="R198" s="93"/>
      <x:c r="S198" s="93"/>
      <x:c r="T198" s="93"/>
    </x:row>
    <x:row r="199">
      <x:c r="A199" s="93"/>
      <x:c r="B199" s="93"/>
      <x:c r="C199" s="93"/>
      <x:c r="D199" s="93"/>
      <x:c r="E199" s="93"/>
      <x:c r="F199" s="93"/>
      <x:c r="G199" s="93"/>
      <x:c r="H199" s="93"/>
      <x:c r="I199" s="93"/>
      <x:c r="J199" s="93"/>
      <x:c r="K199" s="93"/>
      <x:c r="L199" s="93"/>
      <x:c r="M199" s="93"/>
      <x:c r="N199" s="93"/>
      <x:c r="O199" s="93"/>
      <x:c r="P199" s="93"/>
      <x:c r="Q199" s="93"/>
      <x:c r="R199" s="93"/>
      <x:c r="S199" s="93"/>
      <x:c r="T199" s="93"/>
    </x:row>
    <x:row r="200">
      <x:c r="A200" s="93"/>
      <x:c r="B200" s="93"/>
      <x:c r="C200" s="93"/>
      <x:c r="D200" s="93"/>
      <x:c r="E200" s="93"/>
      <x:c r="F200" s="93"/>
      <x:c r="G200" s="93"/>
      <x:c r="H200" s="93"/>
      <x:c r="I200" s="93"/>
      <x:c r="J200" s="93"/>
      <x:c r="K200" s="93"/>
      <x:c r="L200" s="93"/>
      <x:c r="M200" s="93"/>
      <x:c r="N200" s="93"/>
      <x:c r="O200" s="93"/>
      <x:c r="P200" s="93"/>
      <x:c r="Q200" s="93"/>
      <x:c r="R200" s="93"/>
      <x:c r="S200" s="93"/>
      <x:c r="T200" s="93"/>
    </x:row>
    <x:row r="201">
      <x:c r="A201" s="93"/>
      <x:c r="B201" s="93"/>
      <x:c r="C201" s="93"/>
      <x:c r="D201" s="93"/>
      <x:c r="E201" s="93"/>
      <x:c r="F201" s="93"/>
      <x:c r="G201" s="93"/>
      <x:c r="H201" s="93"/>
      <x:c r="I201" s="93"/>
      <x:c r="J201" s="93"/>
      <x:c r="K201" s="93"/>
      <x:c r="L201" s="93"/>
      <x:c r="M201" s="93"/>
      <x:c r="N201" s="93"/>
      <x:c r="O201" s="93"/>
      <x:c r="P201" s="93"/>
      <x:c r="Q201" s="93"/>
      <x:c r="R201" s="93"/>
      <x:c r="S201" s="93"/>
      <x:c r="T201" s="93"/>
    </x:row>
    <x:row r="202">
      <x:c r="A202" s="93"/>
      <x:c r="B202" s="93"/>
      <x:c r="C202" s="93"/>
      <x:c r="D202" s="93"/>
      <x:c r="E202" s="93"/>
      <x:c r="F202" s="93"/>
      <x:c r="G202" s="93"/>
      <x:c r="H202" s="93"/>
      <x:c r="I202" s="93"/>
      <x:c r="J202" s="93"/>
      <x:c r="K202" s="93"/>
      <x:c r="L202" s="93"/>
      <x:c r="M202" s="93"/>
      <x:c r="N202" s="93"/>
      <x:c r="O202" s="93"/>
      <x:c r="P202" s="93"/>
      <x:c r="Q202" s="93"/>
      <x:c r="R202" s="93"/>
      <x:c r="S202" s="93"/>
      <x:c r="T202" s="93"/>
    </x:row>
    <x:row r="203">
      <x:c r="A203" s="93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93"/>
      <x:c r="M203" s="93"/>
      <x:c r="N203" s="93"/>
      <x:c r="O203" s="93"/>
      <x:c r="P203" s="93"/>
      <x:c r="Q203" s="93"/>
      <x:c r="R203" s="93"/>
      <x:c r="S203" s="93"/>
      <x:c r="T203" s="93"/>
    </x:row>
    <x:row r="204">
      <x:c r="A204" s="93"/>
      <x:c r="B204" s="93"/>
      <x:c r="C204" s="93"/>
      <x:c r="D204" s="93"/>
      <x:c r="E204" s="93"/>
      <x:c r="F204" s="93"/>
      <x:c r="G204" s="93"/>
      <x:c r="H204" s="93"/>
      <x:c r="I204" s="93"/>
      <x:c r="J204" s="93"/>
      <x:c r="K204" s="93"/>
      <x:c r="L204" s="93"/>
      <x:c r="M204" s="93"/>
      <x:c r="N204" s="93"/>
      <x:c r="O204" s="93"/>
      <x:c r="P204" s="93"/>
      <x:c r="Q204" s="93"/>
      <x:c r="R204" s="93"/>
      <x:c r="S204" s="93"/>
      <x:c r="T204" s="93"/>
    </x:row>
    <x:row r="205">
      <x:c r="A205" s="93"/>
      <x:c r="B205" s="93"/>
      <x:c r="C205" s="93"/>
      <x:c r="D205" s="93"/>
      <x:c r="E205" s="93"/>
      <x:c r="F205" s="93"/>
      <x:c r="G205" s="93"/>
      <x:c r="H205" s="93"/>
      <x:c r="I205" s="93"/>
      <x:c r="J205" s="93"/>
      <x:c r="K205" s="93"/>
      <x:c r="L205" s="93"/>
      <x:c r="M205" s="93"/>
      <x:c r="N205" s="93"/>
      <x:c r="O205" s="93"/>
      <x:c r="P205" s="93"/>
      <x:c r="Q205" s="93"/>
      <x:c r="R205" s="93"/>
      <x:c r="S205" s="93"/>
      <x:c r="T205" s="93"/>
    </x:row>
    <x:row r="206">
      <x:c r="A206" s="93"/>
      <x:c r="B206" s="93"/>
      <x:c r="C206" s="93"/>
      <x:c r="D206" s="93"/>
      <x:c r="E206" s="93"/>
      <x:c r="F206" s="93"/>
      <x:c r="G206" s="93"/>
      <x:c r="H206" s="93"/>
      <x:c r="I206" s="93"/>
      <x:c r="J206" s="93"/>
      <x:c r="K206" s="93"/>
      <x:c r="L206" s="93"/>
      <x:c r="M206" s="93"/>
      <x:c r="N206" s="93"/>
      <x:c r="O206" s="93"/>
      <x:c r="P206" s="93"/>
      <x:c r="Q206" s="93"/>
      <x:c r="R206" s="93"/>
      <x:c r="S206" s="93"/>
      <x:c r="T206" s="93"/>
    </x:row>
    <x:row r="207">
      <x:c r="A207" s="93"/>
      <x:c r="B207" s="93"/>
      <x:c r="C207" s="93"/>
      <x:c r="D207" s="93"/>
      <x:c r="E207" s="93"/>
      <x:c r="F207" s="93"/>
      <x:c r="G207" s="93"/>
      <x:c r="H207" s="93"/>
      <x:c r="I207" s="93"/>
      <x:c r="J207" s="93"/>
      <x:c r="K207" s="93"/>
      <x:c r="L207" s="93"/>
      <x:c r="M207" s="93"/>
      <x:c r="N207" s="93"/>
      <x:c r="O207" s="93"/>
      <x:c r="P207" s="93"/>
      <x:c r="Q207" s="93"/>
      <x:c r="R207" s="93"/>
      <x:c r="S207" s="93"/>
      <x:c r="T207" s="93"/>
    </x:row>
    <x:row r="208">
      <x:c r="A208" s="93"/>
      <x:c r="B208" s="93"/>
      <x:c r="C208" s="93"/>
      <x:c r="D208" s="93"/>
      <x:c r="E208" s="93"/>
      <x:c r="F208" s="93"/>
      <x:c r="G208" s="93"/>
      <x:c r="H208" s="93"/>
      <x:c r="I208" s="93"/>
      <x:c r="J208" s="93"/>
      <x:c r="K208" s="93"/>
      <x:c r="L208" s="93"/>
      <x:c r="M208" s="93"/>
      <x:c r="N208" s="93"/>
      <x:c r="O208" s="93"/>
      <x:c r="P208" s="93"/>
      <x:c r="Q208" s="93"/>
      <x:c r="R208" s="93"/>
      <x:c r="S208" s="93"/>
      <x:c r="T208" s="93"/>
    </x:row>
    <x:row r="209">
      <x:c r="A209" s="93"/>
      <x:c r="B209" s="93"/>
      <x:c r="C209" s="93"/>
      <x:c r="D209" s="93"/>
      <x:c r="E209" s="93"/>
      <x:c r="F209" s="93"/>
      <x:c r="G209" s="93"/>
      <x:c r="H209" s="93"/>
      <x:c r="I209" s="93"/>
      <x:c r="J209" s="93"/>
      <x:c r="K209" s="93"/>
      <x:c r="L209" s="93"/>
      <x:c r="M209" s="93"/>
      <x:c r="N209" s="93"/>
      <x:c r="O209" s="93"/>
      <x:c r="P209" s="93"/>
      <x:c r="Q209" s="93"/>
      <x:c r="R209" s="93"/>
      <x:c r="S209" s="93"/>
      <x:c r="T209" s="93"/>
    </x:row>
    <x:row r="210">
      <x:c r="A210" s="93"/>
      <x:c r="B210" s="93"/>
      <x:c r="C210" s="93"/>
      <x:c r="D210" s="93"/>
      <x:c r="E210" s="93"/>
      <x:c r="F210" s="93"/>
      <x:c r="G210" s="93"/>
      <x:c r="H210" s="93"/>
      <x:c r="I210" s="93"/>
      <x:c r="J210" s="93"/>
      <x:c r="K210" s="93"/>
      <x:c r="L210" s="93"/>
      <x:c r="M210" s="93"/>
      <x:c r="N210" s="93"/>
      <x:c r="O210" s="93"/>
      <x:c r="P210" s="93"/>
      <x:c r="Q210" s="93"/>
      <x:c r="R210" s="93"/>
      <x:c r="S210" s="93"/>
      <x:c r="T210" s="93"/>
    </x:row>
    <x:row r="211">
      <x:c r="A211" s="93"/>
      <x:c r="B211" s="93"/>
      <x:c r="C211" s="93"/>
      <x:c r="D211" s="93"/>
      <x:c r="E211" s="93"/>
      <x:c r="F211" s="93"/>
      <x:c r="G211" s="93"/>
      <x:c r="H211" s="93"/>
      <x:c r="I211" s="93"/>
      <x:c r="J211" s="93"/>
      <x:c r="K211" s="93"/>
      <x:c r="L211" s="93"/>
      <x:c r="M211" s="93"/>
      <x:c r="N211" s="93"/>
      <x:c r="O211" s="93"/>
      <x:c r="P211" s="93"/>
      <x:c r="Q211" s="93"/>
      <x:c r="R211" s="93"/>
      <x:c r="S211" s="93"/>
      <x:c r="T211" s="93"/>
    </x:row>
    <x:row r="212">
      <x:c r="A212" s="93"/>
      <x:c r="B212" s="93"/>
      <x:c r="C212" s="93"/>
      <x:c r="D212" s="93"/>
      <x:c r="E212" s="93"/>
      <x:c r="F212" s="93"/>
      <x:c r="G212" s="93"/>
      <x:c r="H212" s="93"/>
      <x:c r="I212" s="93"/>
      <x:c r="J212" s="93"/>
      <x:c r="K212" s="93"/>
      <x:c r="L212" s="93"/>
      <x:c r="M212" s="93"/>
      <x:c r="N212" s="93"/>
      <x:c r="O212" s="93"/>
      <x:c r="P212" s="93"/>
      <x:c r="Q212" s="93"/>
      <x:c r="R212" s="93"/>
      <x:c r="S212" s="93"/>
      <x:c r="T212" s="93"/>
    </x:row>
    <x:row r="213">
      <x:c r="A213" s="93"/>
      <x:c r="B213" s="93"/>
      <x:c r="C213" s="93"/>
      <x:c r="D213" s="93"/>
      <x:c r="E213" s="93"/>
      <x:c r="F213" s="93"/>
      <x:c r="G213" s="93"/>
      <x:c r="H213" s="93"/>
      <x:c r="I213" s="93"/>
      <x:c r="J213" s="93"/>
      <x:c r="K213" s="93"/>
      <x:c r="L213" s="93"/>
      <x:c r="M213" s="93"/>
      <x:c r="N213" s="93"/>
      <x:c r="O213" s="93"/>
      <x:c r="P213" s="93"/>
      <x:c r="Q213" s="93"/>
      <x:c r="R213" s="93"/>
      <x:c r="S213" s="93"/>
      <x:c r="T213" s="93"/>
    </x:row>
    <x:row r="214">
      <x:c r="A214" s="93"/>
      <x:c r="B214" s="93"/>
      <x:c r="C214" s="93"/>
      <x:c r="D214" s="93"/>
      <x:c r="E214" s="93"/>
      <x:c r="F214" s="93"/>
      <x:c r="G214" s="93"/>
      <x:c r="H214" s="93"/>
      <x:c r="I214" s="93"/>
      <x:c r="J214" s="93"/>
      <x:c r="K214" s="93"/>
      <x:c r="L214" s="93"/>
      <x:c r="M214" s="93"/>
      <x:c r="N214" s="93"/>
      <x:c r="O214" s="93"/>
      <x:c r="P214" s="93"/>
      <x:c r="Q214" s="93"/>
      <x:c r="R214" s="93"/>
      <x:c r="S214" s="93"/>
      <x:c r="T214" s="93"/>
    </x:row>
    <x:row r="215">
      <x:c r="A215" s="93"/>
      <x:c r="B215" s="93"/>
      <x:c r="C215" s="93"/>
      <x:c r="D215" s="93"/>
      <x:c r="E215" s="93"/>
      <x:c r="F215" s="93"/>
      <x:c r="G215" s="93"/>
      <x:c r="H215" s="93"/>
      <x:c r="I215" s="93"/>
      <x:c r="J215" s="93"/>
      <x:c r="K215" s="93"/>
      <x:c r="L215" s="93"/>
      <x:c r="M215" s="93"/>
      <x:c r="N215" s="93"/>
      <x:c r="O215" s="93"/>
      <x:c r="P215" s="93"/>
      <x:c r="Q215" s="93"/>
      <x:c r="R215" s="93"/>
      <x:c r="S215" s="93"/>
      <x:c r="T215" s="93"/>
    </x:row>
    <x:row r="216">
      <x:c r="A216" s="93"/>
      <x:c r="B216" s="93"/>
      <x:c r="C216" s="93"/>
      <x:c r="D216" s="93"/>
      <x:c r="E216" s="93"/>
      <x:c r="F216" s="93"/>
      <x:c r="G216" s="93"/>
      <x:c r="H216" s="93"/>
      <x:c r="I216" s="93"/>
      <x:c r="J216" s="93"/>
      <x:c r="K216" s="93"/>
      <x:c r="L216" s="93"/>
      <x:c r="M216" s="93"/>
      <x:c r="N216" s="93"/>
      <x:c r="O216" s="93"/>
      <x:c r="P216" s="93"/>
      <x:c r="Q216" s="93"/>
      <x:c r="R216" s="93"/>
      <x:c r="S216" s="93"/>
      <x:c r="T216" s="93"/>
    </x:row>
    <x:row r="217">
      <x:c r="A217" s="93"/>
      <x:c r="B217" s="93"/>
      <x:c r="C217" s="93"/>
      <x:c r="D217" s="93"/>
      <x:c r="E217" s="93"/>
      <x:c r="F217" s="93"/>
      <x:c r="G217" s="93"/>
      <x:c r="H217" s="93"/>
      <x:c r="I217" s="93"/>
      <x:c r="J217" s="93"/>
      <x:c r="K217" s="93"/>
      <x:c r="L217" s="93"/>
      <x:c r="M217" s="93"/>
      <x:c r="N217" s="93"/>
      <x:c r="O217" s="93"/>
      <x:c r="P217" s="93"/>
      <x:c r="Q217" s="93"/>
      <x:c r="R217" s="93"/>
      <x:c r="S217" s="93"/>
      <x:c r="T217" s="93"/>
    </x:row>
    <x:row r="218">
      <x:c r="A218" s="93"/>
      <x:c r="B218" s="93"/>
      <x:c r="C218" s="93"/>
      <x:c r="D218" s="93"/>
      <x:c r="E218" s="93"/>
      <x:c r="F218" s="93"/>
      <x:c r="G218" s="93"/>
      <x:c r="H218" s="93"/>
      <x:c r="I218" s="93"/>
      <x:c r="J218" s="93"/>
      <x:c r="K218" s="93"/>
      <x:c r="L218" s="93"/>
      <x:c r="M218" s="93"/>
      <x:c r="N218" s="93"/>
      <x:c r="O218" s="93"/>
      <x:c r="P218" s="93"/>
      <x:c r="Q218" s="93"/>
      <x:c r="R218" s="93"/>
      <x:c r="S218" s="93"/>
      <x:c r="T218" s="93"/>
    </x:row>
    <x:row r="219">
      <x:c r="A219" s="93"/>
      <x:c r="B219" s="93"/>
      <x:c r="C219" s="93"/>
      <x:c r="D219" s="93"/>
      <x:c r="E219" s="93"/>
      <x:c r="F219" s="93"/>
      <x:c r="G219" s="93"/>
      <x:c r="H219" s="93"/>
      <x:c r="I219" s="93"/>
      <x:c r="J219" s="93"/>
      <x:c r="K219" s="93"/>
      <x:c r="L219" s="93"/>
      <x:c r="M219" s="93"/>
      <x:c r="N219" s="93"/>
      <x:c r="O219" s="93"/>
      <x:c r="P219" s="93"/>
      <x:c r="Q219" s="93"/>
      <x:c r="R219" s="93"/>
      <x:c r="S219" s="93"/>
      <x:c r="T219" s="93"/>
    </x:row>
    <x:row r="220">
      <x:c r="A220" s="93"/>
      <x:c r="B220" s="93"/>
      <x:c r="C220" s="93"/>
      <x:c r="D220" s="93"/>
      <x:c r="E220" s="93"/>
      <x:c r="F220" s="93"/>
      <x:c r="G220" s="93"/>
      <x:c r="H220" s="93"/>
      <x:c r="I220" s="93"/>
      <x:c r="J220" s="93"/>
      <x:c r="K220" s="93"/>
      <x:c r="L220" s="93"/>
      <x:c r="M220" s="93"/>
      <x:c r="N220" s="93"/>
      <x:c r="O220" s="93"/>
      <x:c r="P220" s="93"/>
      <x:c r="Q220" s="93"/>
      <x:c r="R220" s="93"/>
      <x:c r="S220" s="93"/>
      <x:c r="T220" s="93"/>
    </x:row>
    <x:row r="221">
      <x:c r="A221" s="93"/>
      <x:c r="B221" s="93"/>
      <x:c r="C221" s="93"/>
      <x:c r="D221" s="93"/>
      <x:c r="E221" s="93"/>
      <x:c r="F221" s="93"/>
      <x:c r="G221" s="93"/>
      <x:c r="H221" s="93"/>
      <x:c r="I221" s="93"/>
      <x:c r="J221" s="93"/>
      <x:c r="K221" s="93"/>
      <x:c r="L221" s="93"/>
      <x:c r="M221" s="93"/>
      <x:c r="N221" s="93"/>
      <x:c r="O221" s="93"/>
      <x:c r="P221" s="93"/>
      <x:c r="Q221" s="93"/>
      <x:c r="R221" s="93"/>
      <x:c r="S221" s="93"/>
      <x:c r="T221" s="93"/>
    </x:row>
    <x:row r="222">
      <x:c r="A222" s="93"/>
      <x:c r="B222" s="93"/>
      <x:c r="C222" s="93"/>
      <x:c r="D222" s="93"/>
      <x:c r="E222" s="93"/>
      <x:c r="F222" s="93"/>
      <x:c r="G222" s="93"/>
      <x:c r="H222" s="93"/>
      <x:c r="I222" s="93"/>
      <x:c r="J222" s="93"/>
      <x:c r="K222" s="93"/>
      <x:c r="L222" s="93"/>
      <x:c r="M222" s="93"/>
      <x:c r="N222" s="93"/>
      <x:c r="O222" s="93"/>
      <x:c r="P222" s="93"/>
      <x:c r="Q222" s="93"/>
      <x:c r="R222" s="93"/>
      <x:c r="S222" s="93"/>
      <x:c r="T222" s="93"/>
    </x:row>
    <x:row r="223">
      <x:c r="A223" s="93"/>
      <x:c r="B223" s="93"/>
      <x:c r="C223" s="93"/>
      <x:c r="D223" s="93"/>
      <x:c r="E223" s="93"/>
      <x:c r="F223" s="93"/>
      <x:c r="G223" s="93"/>
      <x:c r="H223" s="93"/>
      <x:c r="I223" s="93"/>
      <x:c r="J223" s="93"/>
      <x:c r="K223" s="93"/>
      <x:c r="L223" s="93"/>
      <x:c r="M223" s="93"/>
      <x:c r="N223" s="93"/>
      <x:c r="O223" s="93"/>
      <x:c r="P223" s="93"/>
      <x:c r="Q223" s="93"/>
      <x:c r="R223" s="93"/>
      <x:c r="S223" s="93"/>
      <x:c r="T223" s="93"/>
    </x:row>
    <x:row r="224">
      <x:c r="A224" s="93"/>
      <x:c r="B224" s="93"/>
      <x:c r="C224" s="93"/>
      <x:c r="D224" s="93"/>
      <x:c r="E224" s="93"/>
      <x:c r="F224" s="93"/>
      <x:c r="G224" s="93"/>
      <x:c r="H224" s="93"/>
      <x:c r="I224" s="93"/>
      <x:c r="J224" s="93"/>
      <x:c r="K224" s="93"/>
      <x:c r="L224" s="93"/>
      <x:c r="M224" s="93"/>
      <x:c r="N224" s="93"/>
      <x:c r="O224" s="93"/>
      <x:c r="P224" s="93"/>
      <x:c r="Q224" s="93"/>
      <x:c r="R224" s="93"/>
      <x:c r="S224" s="93"/>
      <x:c r="T224" s="93"/>
    </x:row>
    <x:row r="225">
      <x:c r="A225" s="93"/>
      <x:c r="B225" s="93"/>
      <x:c r="C225" s="93"/>
      <x:c r="D225" s="93"/>
      <x:c r="E225" s="93"/>
      <x:c r="F225" s="93"/>
      <x:c r="G225" s="93"/>
      <x:c r="H225" s="93"/>
      <x:c r="I225" s="93"/>
      <x:c r="J225" s="93"/>
      <x:c r="K225" s="93"/>
      <x:c r="L225" s="93"/>
      <x:c r="M225" s="93"/>
      <x:c r="N225" s="93"/>
      <x:c r="O225" s="93"/>
      <x:c r="P225" s="93"/>
      <x:c r="Q225" s="93"/>
      <x:c r="R225" s="93"/>
      <x:c r="S225" s="93"/>
      <x:c r="T225" s="93"/>
    </x:row>
    <x:row r="226">
      <x:c r="A226" s="93"/>
      <x:c r="B226" s="93"/>
      <x:c r="C226" s="93"/>
      <x:c r="D226" s="93"/>
      <x:c r="E226" s="93"/>
      <x:c r="F226" s="93"/>
      <x:c r="G226" s="93"/>
      <x:c r="H226" s="93"/>
      <x:c r="I226" s="93"/>
      <x:c r="J226" s="93"/>
      <x:c r="K226" s="93"/>
      <x:c r="L226" s="93"/>
      <x:c r="M226" s="93"/>
      <x:c r="N226" s="93"/>
      <x:c r="O226" s="93"/>
      <x:c r="P226" s="93"/>
      <x:c r="Q226" s="93"/>
      <x:c r="R226" s="93"/>
      <x:c r="S226" s="93"/>
      <x:c r="T226" s="93"/>
    </x:row>
    <x:row r="227">
      <x:c r="A227" s="93"/>
      <x:c r="B227" s="93"/>
      <x:c r="C227" s="93"/>
      <x:c r="D227" s="93"/>
      <x:c r="E227" s="93"/>
      <x:c r="F227" s="93"/>
      <x:c r="G227" s="93"/>
      <x:c r="H227" s="93"/>
      <x:c r="I227" s="93"/>
      <x:c r="J227" s="93"/>
      <x:c r="K227" s="93"/>
      <x:c r="L227" s="93"/>
      <x:c r="M227" s="93"/>
      <x:c r="N227" s="93"/>
      <x:c r="O227" s="93"/>
      <x:c r="P227" s="93"/>
      <x:c r="Q227" s="93"/>
      <x:c r="R227" s="93"/>
      <x:c r="S227" s="93"/>
      <x:c r="T227" s="93"/>
    </x:row>
    <x:row r="228">
      <x:c r="A228" s="93"/>
      <x:c r="B228" s="93"/>
      <x:c r="C228" s="93"/>
      <x:c r="D228" s="93"/>
      <x:c r="E228" s="93"/>
      <x:c r="F228" s="93"/>
      <x:c r="G228" s="93"/>
      <x:c r="H228" s="93"/>
      <x:c r="I228" s="93"/>
      <x:c r="J228" s="93"/>
      <x:c r="K228" s="93"/>
      <x:c r="L228" s="93"/>
      <x:c r="M228" s="93"/>
      <x:c r="N228" s="93"/>
      <x:c r="O228" s="93"/>
      <x:c r="P228" s="93"/>
      <x:c r="Q228" s="93"/>
      <x:c r="R228" s="93"/>
      <x:c r="S228" s="93"/>
      <x:c r="T228" s="93"/>
    </x:row>
    <x:row r="229">
      <x:c r="A229" s="93"/>
      <x:c r="B229" s="93"/>
      <x:c r="C229" s="93"/>
      <x:c r="D229" s="93"/>
      <x:c r="E229" s="93"/>
      <x:c r="F229" s="93"/>
      <x:c r="G229" s="93"/>
      <x:c r="H229" s="93"/>
      <x:c r="I229" s="93"/>
      <x:c r="J229" s="93"/>
      <x:c r="K229" s="93"/>
      <x:c r="L229" s="93"/>
      <x:c r="M229" s="93"/>
      <x:c r="N229" s="93"/>
      <x:c r="O229" s="93"/>
      <x:c r="P229" s="93"/>
      <x:c r="Q229" s="93"/>
      <x:c r="R229" s="93"/>
      <x:c r="S229" s="93"/>
      <x:c r="T229" s="93"/>
    </x:row>
    <x:row r="230">
      <x:c r="A230" s="93"/>
      <x:c r="B230" s="93"/>
      <x:c r="C230" s="93"/>
      <x:c r="D230" s="93"/>
      <x:c r="E230" s="93"/>
      <x:c r="F230" s="93"/>
      <x:c r="G230" s="93"/>
      <x:c r="H230" s="93"/>
      <x:c r="I230" s="93"/>
      <x:c r="J230" s="93"/>
      <x:c r="K230" s="93"/>
      <x:c r="L230" s="93"/>
      <x:c r="M230" s="93"/>
      <x:c r="N230" s="93"/>
      <x:c r="O230" s="93"/>
      <x:c r="P230" s="93"/>
      <x:c r="Q230" s="93"/>
      <x:c r="R230" s="93"/>
      <x:c r="S230" s="93"/>
      <x:c r="T230" s="93"/>
    </x:row>
    <x:row r="231">
      <x:c r="A231" s="93"/>
      <x:c r="B231" s="93"/>
      <x:c r="C231" s="93"/>
      <x:c r="D231" s="93"/>
      <x:c r="E231" s="93"/>
      <x:c r="F231" s="93"/>
      <x:c r="G231" s="93"/>
      <x:c r="H231" s="93"/>
      <x:c r="I231" s="93"/>
      <x:c r="J231" s="93"/>
      <x:c r="K231" s="93"/>
      <x:c r="L231" s="93"/>
      <x:c r="M231" s="93"/>
      <x:c r="N231" s="93"/>
      <x:c r="O231" s="93"/>
      <x:c r="P231" s="93"/>
      <x:c r="Q231" s="93"/>
      <x:c r="R231" s="93"/>
      <x:c r="S231" s="93"/>
      <x:c r="T231" s="93"/>
    </x:row>
    <x:row r="232">
      <x:c r="A232" s="93"/>
      <x:c r="B232" s="93"/>
      <x:c r="C232" s="93"/>
      <x:c r="D232" s="93"/>
      <x:c r="E232" s="93"/>
      <x:c r="F232" s="93"/>
      <x:c r="G232" s="93"/>
      <x:c r="H232" s="93"/>
      <x:c r="I232" s="93"/>
      <x:c r="J232" s="93"/>
      <x:c r="K232" s="93"/>
      <x:c r="L232" s="93"/>
      <x:c r="M232" s="93"/>
      <x:c r="N232" s="93"/>
      <x:c r="O232" s="93"/>
      <x:c r="P232" s="93"/>
      <x:c r="Q232" s="93"/>
      <x:c r="R232" s="93"/>
      <x:c r="S232" s="93"/>
      <x:c r="T232" s="93"/>
    </x:row>
    <x:row r="233">
      <x:c r="A233" s="93"/>
      <x:c r="B233" s="93"/>
      <x:c r="C233" s="93"/>
      <x:c r="D233" s="93"/>
      <x:c r="E233" s="93"/>
      <x:c r="F233" s="93"/>
      <x:c r="G233" s="93"/>
      <x:c r="H233" s="93"/>
      <x:c r="I233" s="93"/>
      <x:c r="J233" s="93"/>
      <x:c r="K233" s="93"/>
      <x:c r="L233" s="93"/>
      <x:c r="M233" s="93"/>
      <x:c r="N233" s="93"/>
      <x:c r="O233" s="93"/>
      <x:c r="P233" s="93"/>
      <x:c r="Q233" s="93"/>
      <x:c r="R233" s="93"/>
      <x:c r="S233" s="93"/>
      <x:c r="T233" s="93"/>
    </x:row>
    <x:row r="234">
      <x:c r="A234" s="93"/>
      <x:c r="B234" s="93"/>
      <x:c r="C234" s="93"/>
      <x:c r="D234" s="93"/>
      <x:c r="E234" s="93"/>
      <x:c r="F234" s="93"/>
      <x:c r="G234" s="93"/>
      <x:c r="H234" s="93"/>
      <x:c r="I234" s="93"/>
      <x:c r="J234" s="93"/>
      <x:c r="K234" s="93"/>
      <x:c r="L234" s="93"/>
      <x:c r="M234" s="93"/>
      <x:c r="N234" s="93"/>
      <x:c r="O234" s="93"/>
      <x:c r="P234" s="93"/>
      <x:c r="Q234" s="93"/>
      <x:c r="R234" s="93"/>
      <x:c r="S234" s="93"/>
      <x:c r="T234" s="93"/>
    </x:row>
    <x:row r="235">
      <x:c r="A235" s="93"/>
      <x:c r="B235" s="93"/>
      <x:c r="C235" s="93"/>
      <x:c r="D235" s="93"/>
      <x:c r="E235" s="93"/>
      <x:c r="F235" s="93"/>
      <x:c r="G235" s="93"/>
      <x:c r="H235" s="93"/>
      <x:c r="I235" s="93"/>
      <x:c r="J235" s="93"/>
      <x:c r="K235" s="93"/>
      <x:c r="L235" s="93"/>
      <x:c r="M235" s="93"/>
      <x:c r="N235" s="93"/>
      <x:c r="O235" s="93"/>
      <x:c r="P235" s="93"/>
      <x:c r="Q235" s="93"/>
      <x:c r="R235" s="93"/>
      <x:c r="S235" s="93"/>
      <x:c r="T235" s="93"/>
    </x:row>
    <x:row r="236">
      <x:c r="A236" s="93"/>
      <x:c r="B236" s="93"/>
      <x:c r="C236" s="93"/>
      <x:c r="D236" s="93"/>
      <x:c r="E236" s="93"/>
      <x:c r="F236" s="93"/>
      <x:c r="G236" s="93"/>
      <x:c r="H236" s="93"/>
      <x:c r="I236" s="93"/>
      <x:c r="J236" s="93"/>
      <x:c r="K236" s="93"/>
      <x:c r="L236" s="93"/>
      <x:c r="M236" s="93"/>
      <x:c r="N236" s="93"/>
      <x:c r="O236" s="93"/>
      <x:c r="P236" s="93"/>
      <x:c r="Q236" s="93"/>
      <x:c r="R236" s="93"/>
      <x:c r="S236" s="93"/>
      <x:c r="T236" s="93"/>
    </x:row>
    <x:row r="237">
      <x:c r="A237" s="93"/>
      <x:c r="B237" s="93"/>
      <x:c r="C237" s="93"/>
      <x:c r="D237" s="93"/>
      <x:c r="E237" s="93"/>
      <x:c r="F237" s="93"/>
      <x:c r="G237" s="93"/>
      <x:c r="H237" s="93"/>
      <x:c r="I237" s="93"/>
      <x:c r="J237" s="93"/>
      <x:c r="K237" s="93"/>
      <x:c r="L237" s="93"/>
      <x:c r="M237" s="93"/>
      <x:c r="N237" s="93"/>
      <x:c r="O237" s="93"/>
      <x:c r="P237" s="93"/>
      <x:c r="Q237" s="93"/>
      <x:c r="R237" s="93"/>
      <x:c r="S237" s="93"/>
      <x:c r="T237" s="93"/>
    </x:row>
    <x:row r="238">
      <x:c r="A238" s="93"/>
      <x:c r="B238" s="93"/>
      <x:c r="C238" s="93"/>
      <x:c r="D238" s="93"/>
      <x:c r="E238" s="93"/>
      <x:c r="F238" s="93"/>
      <x:c r="G238" s="93"/>
      <x:c r="H238" s="93"/>
      <x:c r="I238" s="93"/>
      <x:c r="J238" s="93"/>
      <x:c r="K238" s="93"/>
      <x:c r="L238" s="93"/>
      <x:c r="M238" s="93"/>
      <x:c r="N238" s="93"/>
      <x:c r="O238" s="93"/>
      <x:c r="P238" s="93"/>
      <x:c r="Q238" s="93"/>
      <x:c r="R238" s="93"/>
      <x:c r="S238" s="93"/>
      <x:c r="T238" s="93"/>
    </x:row>
    <x:row r="239">
      <x:c r="A239" s="93"/>
      <x:c r="B239" s="93"/>
      <x:c r="C239" s="93"/>
      <x:c r="D239" s="93"/>
      <x:c r="E239" s="93"/>
      <x:c r="F239" s="93"/>
      <x:c r="G239" s="93"/>
      <x:c r="H239" s="93"/>
      <x:c r="I239" s="93"/>
      <x:c r="J239" s="93"/>
      <x:c r="K239" s="93"/>
      <x:c r="L239" s="93"/>
      <x:c r="M239" s="93"/>
      <x:c r="N239" s="93"/>
      <x:c r="O239" s="93"/>
      <x:c r="P239" s="93"/>
      <x:c r="Q239" s="93"/>
      <x:c r="R239" s="93"/>
      <x:c r="S239" s="93"/>
      <x:c r="T239" s="93"/>
    </x:row>
    <x:row r="240">
      <x:c r="A240" s="93"/>
      <x:c r="B240" s="93"/>
      <x:c r="C240" s="93"/>
      <x:c r="D240" s="93"/>
      <x:c r="E240" s="93"/>
      <x:c r="F240" s="93"/>
      <x:c r="G240" s="93"/>
      <x:c r="H240" s="93"/>
      <x:c r="I240" s="93"/>
      <x:c r="J240" s="93"/>
      <x:c r="K240" s="93"/>
      <x:c r="L240" s="93"/>
      <x:c r="M240" s="93"/>
      <x:c r="N240" s="93"/>
      <x:c r="O240" s="93"/>
      <x:c r="P240" s="93"/>
      <x:c r="Q240" s="93"/>
      <x:c r="R240" s="93"/>
      <x:c r="S240" s="93"/>
      <x:c r="T240" s="93"/>
    </x:row>
    <x:row r="241">
      <x:c r="A241" s="93"/>
      <x:c r="B241" s="93"/>
      <x:c r="C241" s="93"/>
      <x:c r="D241" s="93"/>
      <x:c r="E241" s="93"/>
      <x:c r="F241" s="93"/>
      <x:c r="G241" s="93"/>
      <x:c r="H241" s="93"/>
      <x:c r="I241" s="93"/>
      <x:c r="J241" s="93"/>
      <x:c r="K241" s="93"/>
      <x:c r="L241" s="93"/>
      <x:c r="M241" s="93"/>
      <x:c r="N241" s="93"/>
      <x:c r="O241" s="93"/>
      <x:c r="P241" s="93"/>
      <x:c r="Q241" s="93"/>
      <x:c r="R241" s="93"/>
      <x:c r="S241" s="93"/>
      <x:c r="T241" s="93"/>
    </x:row>
    <x:row r="242">
      <x:c r="A242" s="93"/>
      <x:c r="B242" s="93"/>
      <x:c r="C242" s="93"/>
      <x:c r="D242" s="93"/>
      <x:c r="E242" s="93"/>
      <x:c r="F242" s="93"/>
      <x:c r="G242" s="93"/>
      <x:c r="H242" s="93"/>
      <x:c r="I242" s="93"/>
      <x:c r="J242" s="93"/>
      <x:c r="K242" s="93"/>
      <x:c r="L242" s="93"/>
      <x:c r="M242" s="93"/>
      <x:c r="N242" s="93"/>
      <x:c r="O242" s="93"/>
      <x:c r="P242" s="93"/>
      <x:c r="Q242" s="93"/>
      <x:c r="R242" s="93"/>
      <x:c r="S242" s="93"/>
      <x:c r="T242" s="93"/>
    </x:row>
    <x:row r="243">
      <x:c r="A243" s="93"/>
      <x:c r="B243" s="93"/>
      <x:c r="C243" s="93"/>
      <x:c r="D243" s="93"/>
      <x:c r="E243" s="93"/>
      <x:c r="F243" s="93"/>
      <x:c r="G243" s="93"/>
      <x:c r="H243" s="93"/>
      <x:c r="I243" s="93"/>
      <x:c r="J243" s="93"/>
      <x:c r="K243" s="93"/>
      <x:c r="L243" s="93"/>
      <x:c r="M243" s="93"/>
      <x:c r="N243" s="93"/>
      <x:c r="O243" s="93"/>
      <x:c r="P243" s="93"/>
      <x:c r="Q243" s="93"/>
      <x:c r="R243" s="93"/>
      <x:c r="S243" s="93"/>
      <x:c r="T243" s="93"/>
    </x:row>
    <x:row r="244">
      <x:c r="A244" s="93"/>
      <x:c r="B244" s="93"/>
      <x:c r="C244" s="93"/>
      <x:c r="D244" s="93"/>
      <x:c r="E244" s="93"/>
      <x:c r="F244" s="93"/>
      <x:c r="G244" s="93"/>
      <x:c r="H244" s="93"/>
      <x:c r="I244" s="93"/>
      <x:c r="J244" s="93"/>
      <x:c r="K244" s="93"/>
      <x:c r="L244" s="93"/>
      <x:c r="M244" s="93"/>
      <x:c r="N244" s="93"/>
      <x:c r="O244" s="93"/>
      <x:c r="P244" s="93"/>
      <x:c r="Q244" s="93"/>
      <x:c r="R244" s="93"/>
      <x:c r="S244" s="93"/>
      <x:c r="T244" s="93"/>
    </x:row>
    <x:row r="245">
      <x:c r="A245" s="93"/>
      <x:c r="B245" s="93"/>
      <x:c r="C245" s="93"/>
      <x:c r="D245" s="93"/>
      <x:c r="E245" s="93"/>
      <x:c r="F245" s="93"/>
      <x:c r="G245" s="93"/>
      <x:c r="H245" s="93"/>
      <x:c r="I245" s="93"/>
      <x:c r="J245" s="93"/>
      <x:c r="K245" s="93"/>
      <x:c r="L245" s="93"/>
      <x:c r="M245" s="93"/>
      <x:c r="N245" s="93"/>
      <x:c r="O245" s="93"/>
      <x:c r="P245" s="93"/>
      <x:c r="Q245" s="93"/>
      <x:c r="R245" s="93"/>
      <x:c r="S245" s="93"/>
      <x:c r="T245" s="93"/>
    </x:row>
    <x:row r="246">
      <x:c r="A246" s="93"/>
      <x:c r="B246" s="93"/>
      <x:c r="C246" s="93"/>
      <x:c r="D246" s="93"/>
      <x:c r="E246" s="93"/>
      <x:c r="F246" s="93"/>
      <x:c r="G246" s="93"/>
      <x:c r="H246" s="93"/>
      <x:c r="I246" s="93"/>
      <x:c r="J246" s="93"/>
      <x:c r="K246" s="93"/>
      <x:c r="L246" s="93"/>
      <x:c r="M246" s="93"/>
      <x:c r="N246" s="93"/>
      <x:c r="O246" s="93"/>
      <x:c r="P246" s="93"/>
      <x:c r="Q246" s="93"/>
      <x:c r="R246" s="93"/>
      <x:c r="S246" s="93"/>
      <x:c r="T246" s="93"/>
    </x:row>
    <x:row r="247">
      <x:c r="A247" s="93"/>
      <x:c r="B247" s="93"/>
      <x:c r="C247" s="93"/>
      <x:c r="D247" s="93"/>
      <x:c r="E247" s="93"/>
      <x:c r="F247" s="93"/>
      <x:c r="G247" s="93"/>
      <x:c r="H247" s="93"/>
      <x:c r="I247" s="93"/>
      <x:c r="J247" s="93"/>
      <x:c r="K247" s="93"/>
      <x:c r="L247" s="93"/>
      <x:c r="M247" s="93"/>
      <x:c r="N247" s="93"/>
      <x:c r="O247" s="93"/>
      <x:c r="P247" s="93"/>
      <x:c r="Q247" s="93"/>
      <x:c r="R247" s="93"/>
      <x:c r="S247" s="93"/>
      <x:c r="T247" s="93"/>
    </x:row>
    <x:row r="248">
      <x:c r="A248" s="93"/>
      <x:c r="B248" s="93"/>
      <x:c r="C248" s="93"/>
      <x:c r="D248" s="93"/>
      <x:c r="E248" s="93"/>
      <x:c r="F248" s="93"/>
      <x:c r="G248" s="93"/>
      <x:c r="H248" s="93"/>
      <x:c r="I248" s="93"/>
      <x:c r="J248" s="93"/>
      <x:c r="K248" s="93"/>
      <x:c r="L248" s="93"/>
      <x:c r="M248" s="93"/>
      <x:c r="N248" s="93"/>
      <x:c r="O248" s="93"/>
      <x:c r="P248" s="93"/>
      <x:c r="Q248" s="93"/>
      <x:c r="R248" s="93"/>
      <x:c r="S248" s="93"/>
      <x:c r="T248" s="93"/>
    </x:row>
    <x:row r="249">
      <x:c r="A249" s="93"/>
      <x:c r="B249" s="93"/>
      <x:c r="C249" s="93"/>
      <x:c r="D249" s="93"/>
      <x:c r="E249" s="93"/>
      <x:c r="F249" s="93"/>
      <x:c r="G249" s="93"/>
      <x:c r="H249" s="93"/>
      <x:c r="I249" s="93"/>
      <x:c r="J249" s="93"/>
      <x:c r="K249" s="93"/>
      <x:c r="L249" s="93"/>
      <x:c r="M249" s="93"/>
      <x:c r="N249" s="93"/>
      <x:c r="O249" s="93"/>
      <x:c r="P249" s="93"/>
      <x:c r="Q249" s="93"/>
      <x:c r="R249" s="93"/>
      <x:c r="S249" s="93"/>
      <x:c r="T249" s="93"/>
    </x:row>
    <x:row r="250">
      <x:c r="A250" s="93"/>
      <x:c r="B250" s="93"/>
      <x:c r="C250" s="93"/>
      <x:c r="D250" s="93"/>
      <x:c r="E250" s="93"/>
      <x:c r="F250" s="93"/>
      <x:c r="G250" s="93"/>
      <x:c r="H250" s="93"/>
      <x:c r="I250" s="93"/>
      <x:c r="J250" s="93"/>
      <x:c r="K250" s="93"/>
      <x:c r="L250" s="93"/>
      <x:c r="M250" s="93"/>
      <x:c r="N250" s="93"/>
      <x:c r="O250" s="93"/>
      <x:c r="P250" s="93"/>
      <x:c r="Q250" s="93"/>
      <x:c r="R250" s="93"/>
      <x:c r="S250" s="93"/>
      <x:c r="T250" s="9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Threat Category</x:v>
      </x:c>
      <x:c r="B1" s="5" t="str">
        <x:v>Relevance</x:v>
      </x:c>
      <x:c r="C1" s="5" t="str">
        <x:v>Vulnerability Severity</x:v>
      </x:c>
      <x:c r="D1" s="5" t="str">
        <x:v>Control Coverage</x:v>
      </x:c>
      <x:c r="E1" s="5" t="str">
        <x:v>Priority</x:v>
      </x:c>
    </x:row>
    <x:row r="2">
      <x:c r="A2" s="2" t="str">
        <x:v>Identity</x:v>
      </x:c>
      <x:c r="B2" s="2" t="n">
        <x:v>1</x:v>
      </x:c>
      <x:c r="C2" s="2" t="n">
        <x:v>1</x:v>
      </x:c>
      <x:c r="D2" s="2" t="str">
        <x:v>Strong</x:v>
      </x:c>
      <x:c r="E2" s="2" t="str">
        <x:v>Critical</x:v>
      </x:c>
    </x:row>
    <x:row r="3">
      <x:c r="A3" s="2" t="str">
        <x:v>Email / Social Engineering</x:v>
      </x:c>
      <x:c r="B3" s="2" t="n">
        <x:v>2</x:v>
      </x:c>
      <x:c r="C3" s="2" t="n">
        <x:v>2</x:v>
      </x:c>
      <x:c r="D3" s="2" t="str">
        <x:v>Moderate</x:v>
      </x:c>
      <x:c r="E3" s="2" t="str">
        <x:v>High</x:v>
      </x:c>
    </x:row>
    <x:row r="4">
      <x:c r="A4" s="2" t="str">
        <x:v>Malware / Ransomware</x:v>
      </x:c>
      <x:c r="B4" s="2" t="n">
        <x:v>3</x:v>
      </x:c>
      <x:c r="C4" s="2" t="n">
        <x:v>3</x:v>
      </x:c>
      <x:c r="D4" s="2" t="str">
        <x:v>Limited</x:v>
      </x:c>
      <x:c r="E4" s="2" t="str">
        <x:v>Medium</x:v>
      </x:c>
    </x:row>
    <x:row r="5">
      <x:c r="A5" s="2" t="str">
        <x:v>Cloud / SaaS</x:v>
      </x:c>
      <x:c r="B5" s="2" t="n">
        <x:v>4</x:v>
      </x:c>
      <x:c r="C5" s="2" t="n">
        <x:v>4</x:v>
      </x:c>
      <x:c r="D5" s="2" t="str">
        <x:v>Weak</x:v>
      </x:c>
      <x:c r="E5" s="2" t="str">
        <x:v>Low</x:v>
      </x:c>
    </x:row>
    <x:row r="6">
      <x:c r="A6" s="2" t="str">
        <x:v>Network / Perimeter</x:v>
      </x:c>
      <x:c r="B6" s="2" t="n">
        <x:v>5</x:v>
      </x:c>
      <x:c r="C6" s="2" t="n">
        <x:v>5</x:v>
      </x:c>
      <x:c r="D6" s="2"/>
      <x:c r="E6" s="2"/>
    </x:row>
    <x:row r="7">
      <x:c r="A7" s="2" t="str">
        <x:v>Third Party / Supply Chain</x:v>
      </x:c>
      <x:c r="B7" s="2"/>
      <x:c r="C7" s="2"/>
      <x:c r="D7" s="2"/>
      <x:c r="E7" s="2"/>
    </x:row>
    <x:row r="8">
      <x:c r="A8" s="2" t="str">
        <x:v>Endpoint</x:v>
      </x:c>
      <x:c r="B8" s="2"/>
      <x:c r="C8" s="2"/>
      <x:c r="D8" s="2"/>
      <x:c r="E8" s="2"/>
    </x:row>
    <x:row r="9">
      <x:c r="A9" s="2" t="str">
        <x:v>Web / Internet</x:v>
      </x:c>
      <x:c r="B9" s="2"/>
      <x:c r="C9" s="2"/>
      <x:c r="D9" s="2"/>
      <x:c r="E9" s="2"/>
    </x:row>
    <x:row r="10">
      <x:c r="A10" s="2" t="str">
        <x:v>Insider / Human</x:v>
      </x:c>
      <x:c r="B10" s="2"/>
      <x:c r="C10" s="2"/>
      <x:c r="D10" s="2"/>
      <x:c r="E10" s="2"/>
    </x:row>
    <x:row r="11">
      <x:c r="A11" s="2" t="str">
        <x:v>Availability / Resilience</x:v>
      </x:c>
      <x:c r="B11" s="2"/>
      <x:c r="C11" s="2"/>
      <x:c r="D11" s="2"/>
      <x:c r="E11" s="2"/>
    </x:row>
  </x:sheetData>
  <x:pageMargins left="0.7" right="0.7" top="0.75" bottom="0.75" header="0.3" footer="0.3"/>
</x:worksheet>
</file>